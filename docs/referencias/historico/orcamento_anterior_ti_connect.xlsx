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4ea007420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çamento" sheetId="1" r:id="Re51bd2875bc0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 &quot;#,##0.00"/>
    <x:numFmt numFmtId="201" formatCode="&quot;R$&quot; #,##0.00"/>
    <x:numFmt numFmtId="202" formatCode="0"/>
  </x:numFmts>
  <x:fonts count="6">
    <x:font>
      <x:sz val="11"/>
      <x:name val="Carlito"/>
    </x:font>
    <x:font>
      <x:sz val="10"/>
      <x:color rgb="FF172333"/>
      <x:name val="Arial"/>
    </x:font>
    <x:font>
      <x:b/>
      <x:sz val="16"/>
      <x:color rgb="FF10263E"/>
      <x:name val="Arial"/>
    </x:font>
    <x:font>
      <x:sz val="10"/>
      <x:color rgb="FF5B6675"/>
      <x:name val="Arial"/>
    </x:font>
    <x:font>
      <x:b/>
      <x:sz val="11"/>
      <x:color rgb="FF10263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2F8"/>
      </x:patternFill>
    </x:fill>
    <x:fill>
      <x:patternFill patternType="solid">
        <x:fgColor rgb="FF173A57"/>
      </x:patternFill>
    </x:fill>
  </x:fills>
  <x:borders count="4">
    <x:border/>
    <x:border>
      <x:bottom style="thin">
        <x:color rgb="FFE6EBEF"/>
      </x:bottom>
    </x:border>
    <x:border>
      <x:top style="thin">
        <x:color rgb="FFE6EBEF"/>
      </x:top>
      <x:bottom style="thin">
        <x:color rgb="FFE6EBEF"/>
      </x:bottom>
    </x:border>
    <x:border>
      <x:top style="thin">
        <x:color rgb="FFE6EBEF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0" xfId="0" applyNumberFormat="1" applyFont="1" applyFill="1" applyBorder="1"/>
    <x:xf numFmtId="200" fontId="4" fillId="2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1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1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6f239bd9c409c" /><Relationship Type="http://schemas.openxmlformats.org/officeDocument/2006/relationships/theme" Target="/xl/theme/theme1.xml" Id="R04f6116760c6420d" /><Relationship Type="http://schemas.openxmlformats.org/officeDocument/2006/relationships/sharedStrings" Target="/xl/sharedStrings.xml" Id="Rdff878be69d24655" /><Relationship Type="http://schemas.openxmlformats.org/officeDocument/2006/relationships/worksheet" Target="/xl/worksheets/sheet1.xml" Id="Re51bd2875bc04c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20" hidden="0" customWidth="1"/>
    <x:col min="2" max="2" width="70" hidden="0" customWidth="1"/>
    <x:col min="3" max="3" width="10" hidden="0" customWidth="1"/>
    <x:col min="4" max="4" width="10" hidden="0" customWidth="1"/>
    <x:col min="5" max="5" width="19" hidden="0" customWidth="1"/>
    <x:col min="6" max="6" width="19" hidden="0" customWidth="1"/>
    <x:col min="7" max="7" width="78" hidden="0" customWidth="1"/>
    <x:col min="8" max="8" width="76" hidden="0" customWidth="1"/>
  </x:cols>
  <x:sheetData>
    <x:row r="2">
      <x:c r="A2" s="2" t="str">
        <x:v>Orçamento de materiais | TI Connect — revisão por pavimento</x:v>
      </x:c>
      <x:c r="B2" s="1"/>
      <x:c r="C2" s="1"/>
      <x:c r="D2" s="1"/>
      <x:c r="E2" s="1"/>
      <x:c r="F2" s="1"/>
      <x:c r="G2" s="1"/>
      <x:c r="H2" s="1"/>
    </x:row>
    <x:row r="3">
      <x:c r="A3" s="3" t="str">
        <x:v>Cotações de 29/09 a 01/10/2026 · R$ à vista quando indicado · preços sujeitos a reconfirmação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3" customHeight="1">
      <x:c r="A5" s="1" t="str">
        <x:v>Equipamentos</x:v>
      </x:c>
      <x:c r="B5" s="11" t="n">
        <x:f>SUMIF(A14:A38,"Equipamentos",F14:F38)</x:f>
        <x:v>206638.24000000002</x:v>
      </x:c>
      <x:c r="C5" s="1"/>
      <x:c r="D5" s="1"/>
      <x:c r="E5" s="1"/>
      <x:c r="F5" s="1"/>
      <x:c r="G5" s="1"/>
      <x:c r="H5" s="1"/>
    </x:row>
    <x:row r="6" ht="23" customHeight="1">
      <x:c r="A6" s="1" t="str">
        <x:v>Cabeamento</x:v>
      </x:c>
      <x:c r="B6" s="11" t="n">
        <x:f>SUMIF(A14:A38,"Cabeamento",F14:F38)</x:f>
        <x:v>3309.08</x:v>
      </x:c>
      <x:c r="C6" s="1"/>
      <x:c r="D6" s="1"/>
      <x:c r="E6" s="1"/>
      <x:c r="F6" s="1"/>
      <x:c r="G6" s="1"/>
      <x:c r="H6" s="1"/>
    </x:row>
    <x:row r="7" ht="23" customHeight="1">
      <x:c r="A7" s="1" t="str">
        <x:v>Materiais de instalação</x:v>
      </x:c>
      <x:c r="B7" s="11" t="n">
        <x:f>SUMIF(A14:A38,"Instalação",F14:F38)</x:f>
        <x:v>7553.06</x:v>
      </x:c>
      <x:c r="C7" s="1"/>
      <x:c r="D7" s="1"/>
      <x:c r="E7" s="1"/>
      <x:c r="F7" s="1"/>
      <x:c r="G7" s="1"/>
      <x:c r="H7" s="1"/>
    </x:row>
    <x:row r="8" ht="23" customHeight="1">
      <x:c r="A8" s="5" t="str">
        <x:v>TOTAL DE MATERIAIS</x:v>
      </x:c>
      <x:c r="B8" s="12" t="n">
        <x:f>SUM(B5:B7)</x:f>
        <x:v>217500.38</x:v>
      </x:c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Quantidades: PDF de referência e posições atuais do modelo 3D; 31 estações próprias cabeadas + 1 cliente visitante demonstrativo.</x:v>
      </x:c>
      <x:c r="B10" s="1"/>
      <x:c r="C10" s="1"/>
      <x:c r="D10" s="1"/>
      <x:c r="E10" s="1"/>
      <x:c r="F10" s="1"/>
      <x:c r="G10" s="1"/>
      <x:c r="H10" s="1"/>
    </x:row>
    <x:row r="11">
      <x:c r="A11" s="1" t="str">
        <x:v>Estimativa de materiais. Mão de obra, fusões, certificação, infraestrutura civil/elétrica, frete, licenças e backup externo não incluídos.</x:v>
      </x:c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 ht="28" customHeight="1">
      <x:c r="A13" s="7" t="str">
        <x:v>Grupo</x:v>
      </x:c>
      <x:c r="B13" s="7" t="str">
        <x:v>Item / especificação de referência</x:v>
      </x:c>
      <x:c r="C13" s="7" t="str">
        <x:v>Qtd.</x:v>
      </x:c>
      <x:c r="D13" s="7" t="str">
        <x:v>Un.</x:v>
      </x:c>
      <x:c r="E13" s="7" t="str">
        <x:v>Preço unit. (R$)</x:v>
      </x:c>
      <x:c r="F13" s="7" t="str">
        <x:v>Total (R$)</x:v>
      </x:c>
      <x:c r="G13" s="7" t="str">
        <x:v>Base da quantidade / premissa</x:v>
      </x:c>
      <x:c r="H13" s="7" t="str">
        <x:v>Fonte do preço (URL)</x:v>
      </x:c>
    </x:row>
    <x:row r="14" ht="25" customHeight="1">
      <x:c r="A14" s="8" t="str">
        <x:v>Equipamentos</x:v>
      </x:c>
      <x:c r="B14" s="8" t="str">
        <x:v>Rack de parede 19" 12U Intelbras MRD 1257</x:v>
      </x:c>
      <x:c r="C14" s="21" t="n">
        <x:v>4</x:v>
      </x:c>
      <x:c r="D14" s="8" t="str">
        <x:v>un</x:v>
      </x:c>
      <x:c r="E14" s="16" t="n">
        <x:v>1014.42</x:v>
      </x:c>
      <x:c r="F14" s="16" t="n">
        <x:f>C14*E14</x:f>
        <x:v>4057.68</x:v>
      </x:c>
      <x:c r="G14" s="8" t="str">
        <x:v>RACK-T / RACK-CPD / RACK-2 / RACK-3; servidores em torre fora do rack</x:v>
      </x:c>
      <x:c r="H14" s="8" t="str">
        <x:v>https://www.kabum.com.br/produto/303757/mini-rack-desmontavel-de-parede-12u-19-x-570mm-intelbras-mrd-1257</x:v>
      </x:c>
    </x:row>
    <x:row r="15" ht="25" customHeight="1">
      <x:c r="A15" s="9" t="str">
        <x:v>Equipamentos</x:v>
      </x:c>
      <x:c r="B15" s="9" t="str">
        <x:v>Switch acesso térreo TP-Link TL-SG2008, 8xGbE</x:v>
      </x:c>
      <x:c r="C15" s="22" t="n">
        <x:v>1</x:v>
      </x:c>
      <x:c r="D15" s="9" t="str">
        <x:v>un</x:v>
      </x:c>
      <x:c r="E15" s="17" t="n">
        <x:v>605.99</x:v>
      </x:c>
      <x:c r="F15" s="17" t="n">
        <x:f>C15*E15</x:f>
        <x:v>605.99</x:v>
      </x:c>
      <x:c r="G15" s="9" t="str">
        <x:v>SW-T-01: 1 ponto cabeado + 1 uplink; 6 portas livres</x:v>
      </x:c>
      <x:c r="H15" s="9" t="str">
        <x:v>https://rdwbrasil.shop/produto/switch-08-portas-tl-sg2008-giga/</x:v>
      </x:c>
    </x:row>
    <x:row r="16" ht="25" customHeight="1">
      <x:c r="A16" s="9" t="str">
        <x:v>Equipamentos</x:v>
      </x:c>
      <x:c r="B16" s="9" t="str">
        <x:v>Switch acesso 1º/3º TP-Link TL-SG2218, 16xGbE + 2 SFP</x:v>
      </x:c>
      <x:c r="C16" s="22" t="n">
        <x:v>2</x:v>
      </x:c>
      <x:c r="D16" s="9" t="str">
        <x:v>un</x:v>
      </x:c>
      <x:c r="E16" s="17" t="n">
        <x:v>1331.86</x:v>
      </x:c>
      <x:c r="F16" s="17" t="n">
        <x:f>C16*E16</x:f>
        <x:v>2663.72</x:v>
      </x:c>
      <x:c r="G16" s="9" t="str">
        <x:v>SW-N3-01: 6 PCs + 2 servidores + uplink; SW-3-01: 10 PCs + uplink</x:v>
      </x:c>
      <x:c r="H16" s="9" t="str">
        <x:v>https://www.processtec.com.br/produto/switch-tp-link-smart-16-portas-gigabit-2-portas-sfp-jetstream-tl-sg2218</x:v>
      </x:c>
    </x:row>
    <x:row r="17" ht="25" customHeight="1">
      <x:c r="A17" s="9" t="str">
        <x:v>Equipamentos</x:v>
      </x:c>
      <x:c r="B17" s="9" t="str">
        <x:v>Switch acesso 2º TP-Link TL-SG3428, 24xGbE + 4 SFP</x:v>
      </x:c>
      <x:c r="C17" s="22" t="n">
        <x:v>1</x:v>
      </x:c>
      <x:c r="D17" s="9" t="str">
        <x:v>un</x:v>
      </x:c>
      <x:c r="E17" s="17" t="n">
        <x:v>2425.77</x:v>
      </x:c>
      <x:c r="F17" s="17" t="n">
        <x:f>C17*E17</x:f>
        <x:v>2425.77</x:v>
      </x:c>
      <x:c r="G17" s="9" t="str">
        <x:v>SW-TMK-01: 14 PCs + uplink; 9 portas livres; cotação KaBuM 01/10</x:v>
      </x:c>
      <x:c r="H17" s="9" t="str">
        <x:v>https://www.kabum.com.br/produto/1070017/switch-gigabit-tp-link-tl-sg3428-24-portas-4-sfp-l2-gerenciavel-omada-sdn-rackmount-preto-cinza</x:v>
      </x:c>
    </x:row>
    <x:row r="18" ht="25" customHeight="1">
      <x:c r="A18" s="9" t="str">
        <x:v>Equipamentos</x:v>
      </x:c>
      <x:c r="B18" s="9" t="str">
        <x:v>Switch distribuição/PoE TP-Link TL-SG2210MP, 8xPoE+ + 2 SFP, 150 W</x:v>
      </x:c>
      <x:c r="C18" s="22" t="n">
        <x:v>4</x:v>
      </x:c>
      <x:c r="D18" s="9" t="str">
        <x:v>un</x:v>
      </x:c>
      <x:c r="E18" s="17" t="n">
        <x:v>1044</x:v>
      </x:c>
      <x:c r="F18" s="17" t="n">
        <x:f>C18*E18</x:f>
        <x:v>4176</x:v>
      </x:c>
      <x:c r="G18" s="9" t="str">
        <x:v>SW-BB-T/1/2/3: backbone, uplink local e 5 APs; 2 SFP nos andares intermediários</x:v>
      </x:c>
      <x:c r="H18" s="9" t="str">
        <x:v>https://www.magazineluiza.com.br/switch-gigabit-tp-link-8-portas-2-sfp-sg2210mp-poe-150w/p/efbdb23fa4/in/swit/</x:v>
      </x:c>
    </x:row>
    <x:row r="19" ht="25" customHeight="1">
      <x:c r="A19" s="9" t="str">
        <x:v>Equipamentos</x:v>
      </x:c>
      <x:c r="B19" s="9" t="str">
        <x:v>Roteador/firewall MikroTik RB5009UG+S+IN</x:v>
      </x:c>
      <x:c r="C19" s="22" t="n">
        <x:v>1</x:v>
      </x:c>
      <x:c r="D19" s="9" t="str">
        <x:v>un</x:v>
      </x:c>
      <x:c r="E19" s="17" t="n">
        <x:v>2239</x:v>
      </x:c>
      <x:c r="F19" s="17" t="n">
        <x:f>C19*E19</x:f>
        <x:v>2239</x:v>
      </x:c>
      <x:c r="G19" s="9" t="str">
        <x:v>FW-01: gateway, VLAN corporativa/visitantes e regras de isolamento</x:v>
      </x:c>
      <x:c r="H19" s="9" t="str">
        <x:v>https://www.kabum.com.br/produto/374449/roteador-mikrotik-routerboard-gigabit-ethernet-10gbps-1-4ghz-l5-s-nfe-rb5009ug-s-in</x:v>
      </x:c>
    </x:row>
    <x:row r="20" ht="25" customHeight="1">
      <x:c r="A20" s="9" t="str">
        <x:v>Equipamentos</x:v>
      </x:c>
      <x:c r="B20" s="9" t="str">
        <x:v>AP corporativo TP-Link EAP610 Wi-Fi 6, 802.3at</x:v>
      </x:c>
      <x:c r="C20" s="22" t="n">
        <x:v>4</x:v>
      </x:c>
      <x:c r="D20" s="9" t="str">
        <x:v>un</x:v>
      </x:c>
      <x:c r="E20" s="17" t="n">
        <x:v>849.9</x:v>
      </x:c>
      <x:c r="F20" s="17" t="n">
        <x:f>C20*E20</x:f>
        <x:v>3399.6</x:v>
      </x:c>
      <x:c r="G20" s="9" t="str">
        <x:v>AP-CORP-T, AP-1-01, AP-2-01, AP-3-01; um por pavimento</x:v>
      </x:c>
      <x:c r="H20" s="9" t="str">
        <x:v>https://www.kabum.com.br/produto/388006/access-point-tp-link-eap610-ax1800-1775mbps-omada-wi-fi-6-montavel-em-teto</x:v>
      </x:c>
    </x:row>
    <x:row r="21" ht="25" customHeight="1">
      <x:c r="A21" s="9" t="str">
        <x:v>Equipamentos</x:v>
      </x:c>
      <x:c r="B21" s="9" t="str">
        <x:v>AP visitantes TP-Link EAP610 Wi-Fi 6, 802.3at</x:v>
      </x:c>
      <x:c r="C21" s="22" t="n">
        <x:v>1</x:v>
      </x:c>
      <x:c r="D21" s="9" t="str">
        <x:v>un</x:v>
      </x:c>
      <x:c r="E21" s="17" t="n">
        <x:v>849.9</x:v>
      </x:c>
      <x:c r="F21" s="17" t="n">
        <x:f>C21*E21</x:f>
        <x:v>849.9</x:v>
      </x:c>
      <x:c r="G21" s="9" t="str">
        <x:v>AP-VIS-01 na recepção; VLAN 30/SSID visitantes isolados</x:v>
      </x:c>
      <x:c r="H21" s="9" t="str">
        <x:v>https://www.kabum.com.br/produto/388006/access-point-tp-link-eap610-ax1800-1775mbps-omada-wi-fi-6-montavel-em-teto</x:v>
      </x:c>
    </x:row>
    <x:row r="22" ht="25" customHeight="1">
      <x:c r="A22" s="9" t="str">
        <x:v>Equipamentos</x:v>
      </x:c>
      <x:c r="B22" s="9" t="str">
        <x:v>Servidor principal Dell PowerEdge T160, Xeon, 32 GB, 4 TB</x:v>
      </x:c>
      <x:c r="C22" s="22" t="n">
        <x:v>1</x:v>
      </x:c>
      <x:c r="D22" s="9" t="str">
        <x:v>un</x:v>
      </x:c>
      <x:c r="E22" s="17" t="n">
        <x:v>24199</x:v>
      </x:c>
      <x:c r="F22" s="17" t="n">
        <x:f>C22*E22</x:f>
        <x:v>24199</x:v>
      </x:c>
      <x:c r="G22" s="9" t="str">
        <x:v>SRV-01 na sala de servidores; configuração anunciada pela Dell</x:v>
      </x:c>
      <x:c r="H22" s="9" t="str">
        <x:v>https://www.dell.com/pt-br/shop/ipovw/poweredge-t160</x:v>
      </x:c>
    </x:row>
    <x:row r="23" ht="25" customHeight="1">
      <x:c r="A23" s="9" t="str">
        <x:v>Equipamentos</x:v>
      </x:c>
      <x:c r="B23" s="9" t="str">
        <x:v>Servidor backup Dell PowerEdge T160, Xeon, 32 GB, 4 TB</x:v>
      </x:c>
      <x:c r="C23" s="22" t="n">
        <x:v>1</x:v>
      </x:c>
      <x:c r="D23" s="9" t="str">
        <x:v>un</x:v>
      </x:c>
      <x:c r="E23" s="17" t="n">
        <x:v>24199</x:v>
      </x:c>
      <x:c r="F23" s="17" t="n">
        <x:f>C23*E23</x:f>
        <x:v>24199</x:v>
      </x:c>
      <x:c r="G23" s="9" t="str">
        <x:v>BKP-01: mesma capacidade-base do principal; retenção e redundância de discos a definir</x:v>
      </x:c>
      <x:c r="H23" s="9" t="str">
        <x:v>https://www.dell.com/pt-br/shop/ipovw/poweredge-t160</x:v>
      </x:c>
    </x:row>
    <x:row r="24" ht="25" customHeight="1">
      <x:c r="A24" s="9" t="str">
        <x:v>Equipamentos</x:v>
      </x:c>
      <x:c r="B24" s="9" t="str">
        <x:v>Desktop completo 3Green i5-14400F, 16 GB, SSD 512 GB, monitor 21,5"</x:v>
      </x:c>
      <x:c r="C24" s="22" t="n">
        <x:v>31</x:v>
      </x:c>
      <x:c r="D24" s="9" t="str">
        <x:v>un</x:v>
      </x:c>
      <x:c r="E24" s="17" t="n">
        <x:v>4247.99</x:v>
      </x:c>
      <x:c r="F24" s="17" t="n">
        <x:f>C24*E24</x:f>
        <x:v>131687.69</x:v>
      </x:c>
      <x:c r="G24" s="9" t="str">
        <x:v>Estoque 1 + N3 6 + telemarketing 14 + 3º andar 10; CLI-01 é visitante/BYOD</x:v>
      </x:c>
      <x:c r="H24" s="9" t="str">
        <x:v>https://www.kabum.com.br/produto/1068762/computador-completo-3green-intel-i5-14400f-16gb-ddr4-ssd-512gb-wifi-geforce-gt-2gb-monitor-21-5-full-hd-windows-11-pro-preto-3g060</x:v>
      </x:c>
    </x:row>
    <x:row r="25" ht="25" customHeight="1">
      <x:c r="A25" s="9" t="str">
        <x:v>Equipamentos</x:v>
      </x:c>
      <x:c r="B25" s="9" t="str">
        <x:v>Nobreak Intelbras ATTIV 700 VA para rede de andar</x:v>
      </x:c>
      <x:c r="C25" s="22" t="n">
        <x:v>3</x:v>
      </x:c>
      <x:c r="D25" s="9" t="str">
        <x:v>un</x:v>
      </x:c>
      <x:c r="E25" s="17" t="n">
        <x:v>519.63</x:v>
      </x:c>
      <x:c r="F25" s="17" t="n">
        <x:f>C25*E25</x:f>
        <x:v>1558.8899999999999</x:v>
      </x:c>
      <x:c r="G25" s="9" t="str">
        <x:v>Térreo, 2º e 3º: switches/roteador/APs; tensão e autonomia a validar</x:v>
      </x:c>
      <x:c r="H25" s="9" t="str">
        <x:v>https://www.magazineluiza.com.br/nobreak-attiv-700va-220v-intelbras/p/ebe051fccd/in/nbak/</x:v>
      </x:c>
    </x:row>
    <x:row r="26" ht="25" customHeight="1">
      <x:c r="A26" s="9" t="str">
        <x:v>Equipamentos</x:v>
      </x:c>
      <x:c r="B26" s="9" t="str">
        <x:v>Nobreak SMS Gamer 1500 VA/1050 W senoidal pura</x:v>
      </x:c>
      <x:c r="C26" s="22" t="n">
        <x:v>2</x:v>
      </x:c>
      <x:c r="D26" s="9" t="str">
        <x:v>un</x:v>
      </x:c>
      <x:c r="E26" s="17" t="n">
        <x:v>2288</x:v>
      </x:c>
      <x:c r="F26" s="17" t="n">
        <x:f>C26*E26</x:f>
        <x:v>4576</x:v>
      </x:c>
      <x:c r="G26" s="9" t="str">
        <x:v>Sala de servidores: 1 para SRV-01, 1 para BKP-01 e rede do 1º andar</x:v>
      </x:c>
      <x:c r="H26" s="9" t="str">
        <x:v>https://www.kabum.com.br/produto/479332/nobreak-sms-gamer-1500va-1050w-senoidal-interativo-entrada-115-220v-saida-115-220v-29600</x:v>
      </x:c>
    </x:row>
    <x:row r="27" ht="25" customHeight="1">
      <x:c r="A27" s="9" t="str">
        <x:v>Cabeamento</x:v>
      </x:c>
      <x:c r="B27" s="9" t="str">
        <x:v>Cabo U/UTP Cat6 Furukawa SOHOPLUS, caixa 305 m</x:v>
      </x:c>
      <x:c r="C27" s="22" t="n">
        <x:v>2</x:v>
      </x:c>
      <x:c r="D27" s="9" t="str">
        <x:v>cx</x:v>
      </x:c>
      <x:c r="E27" s="17" t="n">
        <x:v>1199.9</x:v>
      </x:c>
      <x:c r="F27" s="17" t="n">
        <x:f>C27*E27</x:f>
        <x:v>2399.8</x:v>
      </x:c>
      <x:c r="G27" s="9" t="str">
        <x:v>36 enlaces; planta: mínimo ortogonal 395,4 m (escala 1u=1m), +20%=474,5 m; 610 m comprados</x:v>
      </x:c>
      <x:c r="H27" s="9" t="str">
        <x:v>https://www.kabum.com.br/produto/109964/cabo-de-rede-cat-6-furukawa-sohoplus-305-metros-branco-23400199</x:v>
      </x:c>
    </x:row>
    <x:row r="28" ht="25" customHeight="1">
      <x:c r="A28" s="9" t="str">
        <x:v>Cabeamento</x:v>
      </x:c>
      <x:c r="B28" s="9" t="str">
        <x:v>Cabo óptico monomodo 6FO antichamas, rolo 50 m</x:v>
      </x:c>
      <x:c r="C28" s="22" t="n">
        <x:v>2</x:v>
      </x:c>
      <x:c r="D28" s="9" t="str">
        <x:v>rolo</x:v>
      </x:c>
      <x:c r="E28" s="17" t="n">
        <x:v>454.64</x:v>
      </x:c>
      <x:c r="F28" s="17" t="n">
        <x:f>C28*E28</x:f>
        <x:v>909.28</x:v>
      </x:c>
      <x:c r="G28" s="9" t="str">
        <x:v>3 trechos rack–rack; PDF mede shaft 16,33 m; 100 m comprados para percurso lateral</x:v>
      </x:c>
      <x:c r="H28" s="9" t="str">
        <x:v>https://loja.ctmd.eng.br/fibra-optica/9836-cabo-fibra-optica-monomodo-6fo-antichamas-int-ext-p-calhas-50m-.html</x:v>
      </x:c>
    </x:row>
    <x:row r="29" ht="25" customHeight="1">
      <x:c r="A29" s="9" t="str">
        <x:v>Instalação</x:v>
      </x:c>
      <x:c r="B29" s="9" t="str">
        <x:v>Patch panel Cat6 Furukawa 24 portas</x:v>
      </x:c>
      <x:c r="C29" s="22" t="n">
        <x:v>4</x:v>
      </x:c>
      <x:c r="D29" s="9" t="str">
        <x:v>un</x:v>
      </x:c>
      <x:c r="E29" s="17" t="n">
        <x:v>579.9</x:v>
      </x:c>
      <x:c r="F29" s="17" t="n">
        <x:f>C29*E29</x:f>
        <x:v>2319.6</x:v>
      </x:c>
      <x:c r="G29" s="9" t="str">
        <x:v>1 por rack: térreo 3, 1º 7, 2º 15, 3º 11 terminações de área</x:v>
      </x:c>
      <x:c r="H29" s="9" t="str">
        <x:v>https://www.kabum.com.br/produto/474007/patch-panel-furukawa-t568a-b-soho-plus-cat-6-24-portas-35050439</x:v>
      </x:c>
    </x:row>
    <x:row r="30" ht="25" customHeight="1">
      <x:c r="A30" s="9" t="str">
        <x:v>Instalação</x:v>
      </x:c>
      <x:c r="B30" s="9" t="str">
        <x:v>Keystone fêmea RJ45 Cat6</x:v>
      </x:c>
      <x:c r="C30" s="22" t="n">
        <x:v>36</x:v>
      </x:c>
      <x:c r="D30" s="9" t="str">
        <x:v>un</x:v>
      </x:c>
      <x:c r="E30" s="17" t="n">
        <x:v>23.35</x:v>
      </x:c>
      <x:c r="F30" s="17" t="n">
        <x:f>C30*E30</x:f>
        <x:v>840.6</x:v>
      </x:c>
      <x:c r="G30" s="9" t="str">
        <x:v>31 desktops cabeados + 5 APs; servidores ligados localmente por patch cord</x:v>
      </x:c>
      <x:c r="H30" s="9" t="str">
        <x:v>https://www.kabum.com.br/produto/449852/conector-rj45-femea-utp-branco-cat-6</x:v>
      </x:c>
    </x:row>
    <x:row r="31" ht="25" customHeight="1">
      <x:c r="A31" s="9" t="str">
        <x:v>Instalação</x:v>
      </x:c>
      <x:c r="B31" s="9" t="str">
        <x:v>Caixa de sobrepor 2 saídas para ponto de mesa</x:v>
      </x:c>
      <x:c r="C31" s="22" t="n">
        <x:v>31</x:v>
      </x:c>
      <x:c r="D31" s="9" t="str">
        <x:v>un</x:v>
      </x:c>
      <x:c r="E31" s="17" t="n">
        <x:v>5.22</x:v>
      </x:c>
      <x:c r="F31" s="17" t="n">
        <x:f>C31*E31</x:f>
        <x:v>161.82</x:v>
      </x:c>
      <x:c r="G31" s="9" t="str">
        <x:v>1 em cada estação cabeada; 5 APs usam caixa de teto própria</x:v>
      </x:c>
      <x:c r="H31" s="9" t="str">
        <x:v>https://www.centralcabos.com.br/redes/organizadores/caixa-sobrepor</x:v>
      </x:c>
    </x:row>
    <x:row r="32" ht="25" customHeight="1">
      <x:c r="A32" s="10" t="str">
        <x:v>Instalação</x:v>
      </x:c>
      <x:c r="B32" s="10" t="str">
        <x:v>Caixa de teto octogonal PVC 4x4 Tramontina para AP</x:v>
      </x:c>
      <x:c r="C32" s="23" t="n">
        <x:v>5</x:v>
      </x:c>
      <x:c r="D32" s="10" t="str">
        <x:v>un</x:v>
      </x:c>
      <x:c r="E32" s="18" t="n">
        <x:v>10.2</x:v>
      </x:c>
      <x:c r="F32" s="18" t="n">
        <x:f>C32*E32</x:f>
        <x:v>51</x:v>
      </x:c>
      <x:c r="G32" s="10" t="str">
        <x:v>1 por AP para acomodar terminação, sujeito ao tipo de forro</x:v>
      </x:c>
      <x:c r="H32" s="10" t="str">
        <x:v>https://www.magazineluiza.com.br/caixa-de-pvc-octogonal-4x4-amarela-c-fundo-movel-57500005-tramontina-tramontina-eletrik/p/hggjb81446/cj/cxpe/</x:v>
      </x:c>
    </x:row>
    <x:row r="33">
      <x:c r="A33" s="1" t="str">
        <x:v>Instalação</x:v>
      </x:c>
      <x:c r="B33" s="1" t="str">
        <x:v>Patch cord Cat6 2 m</x:v>
      </x:c>
      <x:c r="C33" s="24" t="n">
        <x:v>80</x:v>
      </x:c>
      <x:c r="D33" s="1" t="str">
        <x:v>un</x:v>
      </x:c>
      <x:c r="E33" s="19" t="n">
        <x:v>14.9</x:v>
      </x:c>
      <x:c r="F33" s="19" t="n">
        <x:f>C33*E33</x:f>
        <x:v>1192</x:v>
      </x:c>
      <x:c r="G33" s="1" t="str">
        <x:v>36 no rack + 36 nas pontas + 2 servidores + 4 interswitch + 1 gateway + 1 reserva</x:v>
      </x:c>
      <x:c r="H33" s="1" t="str">
        <x:v>https://www.kabum.com.br/produto/409945/cabo-de-rede-cat-6-2-metros-2m-patch-cord-rj45-lan-internet</x:v>
      </x:c>
    </x:row>
    <x:row r="34">
      <x:c r="A34" s="1" t="str">
        <x:v>Instalação</x:v>
      </x:c>
      <x:c r="B34" s="1" t="str">
        <x:v>Régua de tomadas para rack 19", 8 posições</x:v>
      </x:c>
      <x:c r="C34" s="24" t="n">
        <x:v>4</x:v>
      </x:c>
      <x:c r="D34" s="1" t="str">
        <x:v>un</x:v>
      </x:c>
      <x:c r="E34" s="19" t="n">
        <x:v>94.9</x:v>
      </x:c>
      <x:c r="F34" s="19" t="n">
        <x:f>C34*E34</x:f>
        <x:v>379.6</x:v>
      </x:c>
      <x:c r="G34" s="1" t="str">
        <x:v>1 PDU por rack, alimentada por nobreak dimensionado</x:v>
      </x:c>
      <x:c r="H34" s="1" t="str">
        <x:v>https://www.kabum.com.br/produto/577263/calha-regua-p-rack-c-8-tomadas-10a-19-preto-max-eletron</x:v>
      </x:c>
    </x:row>
    <x:row r="35">
      <x:c r="A35" s="1" t="str">
        <x:v>Instalação</x:v>
      </x:c>
      <x:c r="B35" s="1" t="str">
        <x:v>Mini DIO 6FO monomodo LC/UPC com pigtails</x:v>
      </x:c>
      <x:c r="C35" s="24" t="n">
        <x:v>4</x:v>
      </x:c>
      <x:c r="D35" s="1" t="str">
        <x:v>un</x:v>
      </x:c>
      <x:c r="E35" s="19" t="n">
        <x:v>351.12</x:v>
      </x:c>
      <x:c r="F35" s="19" t="n">
        <x:f>C35*E35</x:f>
        <x:v>1404.48</x:v>
      </x:c>
      <x:c r="G35" s="1" t="str">
        <x:v>1 por rack; 2 fibras por enlace; 4 fibras ativas nos andares 1 e 2</x:v>
      </x:c>
      <x:c r="H35" s="1" t="str">
        <x:v>https://www.aztech.com.br/mini-dio-6fo-de-aco-com-conectores-pigtail-e-acopladores-lcupc-monomodo</x:v>
      </x:c>
    </x:row>
    <x:row r="36">
      <x:c r="A36" s="1" t="str">
        <x:v>Instalação</x:v>
      </x:c>
      <x:c r="B36" s="1" t="str">
        <x:v>Módulo SFP TP-Link TL-SM311LS monomodo LC</x:v>
      </x:c>
      <x:c r="C36" s="24" t="n">
        <x:v>6</x:v>
      </x:c>
      <x:c r="D36" s="1" t="str">
        <x:v>un</x:v>
      </x:c>
      <x:c r="E36" s="19" t="n">
        <x:v>103.55</x:v>
      </x:c>
      <x:c r="F36" s="19" t="n">
        <x:f>C36*E36</x:f>
        <x:v>621.3</x:v>
      </x:c>
      <x:c r="G36" s="1" t="str">
        <x:v>3 enlaces ópticos adjacentes × 2 pontas; confirmar compatibilidade por revisão</x:v>
      </x:c>
      <x:c r="H36" s="1" t="str">
        <x:v>https://www.centralcabos.com.br/modulo-sfp-1-25g-duplex-lc-monomodo-1000base-lx-1310nm-20km---tp-lin---tl-sm311ls/p</x:v>
      </x:c>
    </x:row>
    <x:row r="37">
      <x:c r="A37" s="1" t="str">
        <x:v>Instalação</x:v>
      </x:c>
      <x:c r="B37" s="1" t="str">
        <x:v>Cordão óptico duplex monomodo LC/UPC 2 m</x:v>
      </x:c>
      <x:c r="C37" s="24" t="n">
        <x:v>6</x:v>
      </x:c>
      <x:c r="D37" s="1" t="str">
        <x:v>un</x:v>
      </x:c>
      <x:c r="E37" s="19" t="n">
        <x:v>73.11</x:v>
      </x:c>
      <x:c r="F37" s="19" t="n">
        <x:f>C37*E37</x:f>
        <x:v>438.65999999999997</x:v>
      </x:c>
      <x:c r="G37" s="1" t="str">
        <x:v>1 DIO–SFP por transceptor; LC/UPC nas duas pontas</x:v>
      </x:c>
      <x:c r="H37" s="1" t="str">
        <x:v>https://loja1.instrufiber.com.br/cordao-ptico-duplex-sm-9-125-lc-pc-lc-pc-2?tag=cord%C3%A3o+monomodo+ST</x:v>
      </x:c>
    </x:row>
    <x:row r="38">
      <x:c r="A38" t="str">
        <x:v>Instalação</x:v>
      </x:c>
      <x:c r="B38" t="str">
        <x:v>Guia horizontal de cabos 1U para rack 19"</x:v>
      </x:c>
      <x:c r="C38" s="25" t="n">
        <x:v>4</x:v>
      </x:c>
      <x:c r="D38" t="str">
        <x:v>un</x:v>
      </x:c>
      <x:c r="E38" s="20" t="n">
        <x:v>36</x:v>
      </x:c>
      <x:c r="F38" s="20" t="n">
        <x:f>C38*E38</x:f>
        <x:v>144</x:v>
      </x:c>
      <x:c r="G38" t="str">
        <x:v>1 por rack entre patch panel e switches; separar cobre/óptico</x:v>
      </x:c>
      <x:c r="H38" t="str">
        <x:v>https://www.kabum.com.br/produto/533002/guia-de-cabo-caesa-1ux55mm-preto</x:v>
      </x:c>
    </x:row>
    <x:row r="39">
      <x:c r="A39"/>
      <x:c r="B39"/>
      <x:c r="C39"/>
      <x:c r="D39"/>
      <x:c r="E39"/>
      <x:c r="F39"/>
      <x:c r="G39"/>
      <x:c r="H39"/>
    </x:row>
    <x:row r="40" ht="22" customHeight="1">
      <x:c r="A40" t="str">
        <x:v>Premissas: 4 racks; 4 switches de acesso; 4 de distribuição; 5 APs; 2 servidores; 3 enlaces ópticos entre pisos adjacentes.</x:v>
      </x:c>
    </x:row>
    <x:row r="41" ht="22" customHeight="1">
      <x:c r="A41" t="str">
        <x:v>PoE: 2 APs no térreo e 1 nos demais; cada EAP610 consome cerca de 13 W via 802.3at, dentro dos 150 W por switch.</x:v>
      </x:c>
    </x:row>
    <x:row r="42" ht="22" customHeight="1">
      <x:c r="A42" t="str">
        <x:v>Backbone monomodo 6FO e topologia linear são hipóteses: validar shaft, comprimentos reais, fusões, perda óptica e redundância.</x:v>
      </x:c>
    </x:row>
    <x:row r="43" ht="22" customHeight="1">
      <x:c r="A43" t="str">
        <x:v>Nobreaks e gabinetes exigem conferência de tensão, carga, autonomia, ventilação, ruído, fixação e aterramento no local.</x:v>
      </x:c>
    </x:row>
    <x:row r="44" ht="22" customHeight="1">
      <x:c r="A44" t="str">
        <x:v>Servidores anunciados com 1 disco de 4 TB: solicitar RAID/espelho, licença, retenção e cópia externa antes da compra.</x:v>
      </x:c>
    </x:row>
    <x:row r="45" ht="22" customHeight="1">
      <x:c r="A45" t="str">
        <x:v>Metragem: soma ortogonal mínima da planta = 395,4 m UTP se 1 unidade gráfica = 1 m; rotas reais e escala exigem vistoria.</x:v>
      </x:c>
    </x:row>
  </x:sheetData>
  <x:pageMargins left="0.7" right="0.7" top="0.75" bottom="0.75" header="0.3" footer="0.3"/>
</x:worksheet>
</file>