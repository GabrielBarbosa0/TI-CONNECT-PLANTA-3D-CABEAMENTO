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9b29c374bf4d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çamento" sheetId="1" r:id="Re18fe76cd63f422b"/>
    <x:sheet xmlns:r="http://schemas.openxmlformats.org/officeDocument/2006/relationships" name="Térreo" sheetId="2" r:id="R1c40287adc9842e0"/>
    <x:sheet xmlns:r="http://schemas.openxmlformats.org/officeDocument/2006/relationships" name="1º andar" sheetId="3" r:id="R1566ac40cb2149b7"/>
    <x:sheet xmlns:r="http://schemas.openxmlformats.org/officeDocument/2006/relationships" name="2º andar" sheetId="4" r:id="Rca306113356d4e56"/>
    <x:sheet xmlns:r="http://schemas.openxmlformats.org/officeDocument/2006/relationships" name="3º andar" sheetId="5" r:id="R8f31012d6e564d54"/>
    <x:sheet xmlns:r="http://schemas.openxmlformats.org/officeDocument/2006/relationships" name="Resumo por andar" sheetId="6" r:id="Rabceeda35dd544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R$ &quot;#,##0.00"/>
    <x:numFmt numFmtId="201" formatCode="&quot;R$&quot; #,##0.00"/>
    <x:numFmt numFmtId="202" formatCode="0"/>
    <x:numFmt numFmtId="203" formatCode="&quot;R$&quot; #,##0.0000"/>
  </x:numFmts>
  <x:fonts count="12">
    <x:font>
      <x:sz val="11"/>
      <x:name val="Carlito"/>
    </x:font>
    <x:font>
      <x:sz val="10"/>
      <x:color rgb="FF172333"/>
      <x:name val="Arial"/>
    </x:font>
    <x:font>
      <x:b/>
      <x:sz val="16"/>
      <x:color rgb="FF10263E"/>
      <x:name val="Arial"/>
    </x:font>
    <x:font>
      <x:sz val="10"/>
      <x:color rgb="FF5B6675"/>
      <x:name val="Arial"/>
    </x:font>
    <x:font>
      <x:b/>
      <x:sz val="11"/>
      <x:color rgb="FF10263E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1"/>
      <x:color rgb="FFFFFFFF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1"/>
      <x:name val="Arial"/>
    </x:font>
    <x:font>
      <x:b/>
      <x:sz val="10"/>
      <x:color rgb="FF172333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E8F2F8"/>
      </x:patternFill>
    </x:fill>
    <x:fill>
      <x:patternFill patternType="solid">
        <x:fgColor rgb="FF173A57"/>
      </x:patternFill>
    </x:fill>
    <x:fill>
      <x:patternFill patternType="solid">
        <x:fgColor rgb="FF193B56"/>
      </x:patternFill>
    </x:fill>
    <x:fill>
      <x:patternFill patternType="solid">
        <x:fgColor rgb="FFE7F0F5"/>
      </x:patternFill>
    </x:fill>
    <x:fill>
      <x:patternFill patternType="solid">
        <x:fgColor rgb="FFFFFFFF"/>
      </x:patternFill>
    </x:fill>
    <x:fill>
      <x:patternFill patternType="solid">
        <x:fgColor rgb="FFE8F2F7"/>
      </x:patternFill>
    </x:fill>
    <x:fill>
      <x:patternFill patternType="solid">
        <x:fgColor rgb="FF183B56"/>
      </x:patternFill>
    </x:fill>
    <x:fill>
      <x:patternFill patternType="solid">
        <x:fgColor rgb="FFFFFFFF"/>
      </x:patternFill>
    </x:fill>
    <x:fill>
      <x:patternFill patternType="solid">
        <x:fgColor rgb="FFE8F2F7"/>
      </x:patternFill>
    </x:fill>
    <x:fill>
      <x:patternFill patternType="solid">
        <x:fgColor rgb="FF183B56"/>
      </x:patternFill>
    </x:fill>
  </x:fills>
  <x:borders count="4">
    <x:border/>
    <x:border>
      <x:bottom style="thin">
        <x:color rgb="FFE6EBEF"/>
      </x:bottom>
    </x:border>
    <x:border>
      <x:top style="thin">
        <x:color rgb="FFE6EBEF"/>
      </x:top>
      <x:bottom style="thin">
        <x:color rgb="FFE6EBEF"/>
      </x:bottom>
    </x:border>
    <x:border>
      <x:top style="thin">
        <x:color rgb="FFE6EBEF"/>
      </x:top>
    </x:border>
  </x:borders>
  <x:cellStyleXfs count="1">
    <x:xf numFmtId="0" fontId="0" fillId="0" borderId="0"/>
  </x:cellStyleXfs>
  <x:cellXfs count="6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200" fontId="1" fillId="0" borderId="0" xfId="0" applyNumberFormat="1" applyFont="1" applyFill="1" applyBorder="1"/>
    <x:xf numFmtId="200" fontId="4" fillId="2" borderId="0" xfId="0" applyNumberFormat="1" applyFont="1" applyFill="1" applyBorder="1"/>
    <x:xf numFmtId="200" fontId="1" fillId="0" borderId="1" xfId="0" applyNumberFormat="1" applyFont="1" applyFill="1" applyBorder="1"/>
    <x:xf numFmtId="200" fontId="1" fillId="0" borderId="2" xfId="0" applyNumberFormat="1" applyFont="1" applyFill="1" applyBorder="1"/>
    <x:xf numFmtId="200" fontId="1" fillId="0" borderId="3" xfId="0" applyNumberFormat="1" applyFont="1" applyFill="1" applyBorder="1"/>
    <x:xf numFmtId="201" fontId="1" fillId="0" borderId="1" xfId="0" applyNumberFormat="1" applyFont="1" applyFill="1" applyBorder="1"/>
    <x:xf numFmtId="201" fontId="1" fillId="0" borderId="2" xfId="0" applyNumberFormat="1" applyFont="1" applyFill="1" applyBorder="1"/>
    <x:xf numFmtId="201" fontId="1" fillId="0" borderId="3" xfId="0" applyNumberFormat="1" applyFont="1" applyFill="1" applyBorder="1"/>
    <x:xf numFmtId="201" fontId="1" fillId="0" borderId="0" xfId="0" applyNumberFormat="1" applyFont="1" applyFill="1" applyBorder="1"/>
    <x:xf numFmtId="201" fontId="0" fillId="0" borderId="0" xfId="0" applyNumberFormat="1" applyFont="1" applyFill="1" applyBorder="1"/>
    <x:xf numFmtId="202" fontId="1" fillId="0" borderId="1" xfId="0" applyNumberFormat="1" applyFont="1" applyFill="1" applyBorder="1"/>
    <x:xf numFmtId="202" fontId="1" fillId="0" borderId="2" xfId="0" applyNumberFormat="1" applyFont="1" applyFill="1" applyBorder="1"/>
    <x:xf numFmtId="202" fontId="1" fillId="0" borderId="3" xfId="0" applyNumberFormat="1" applyFont="1" applyFill="1" applyBorder="1"/>
    <x:xf numFmtId="202" fontId="1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/>
    <x:xf numFmtId="0" fontId="5" fillId="4" borderId="0" xfId="0" applyNumberFormat="1" applyFont="1" applyFill="1" applyBorder="1"/>
    <x:xf numFmtId="201" fontId="6" fillId="0" borderId="0" xfId="0" applyNumberFormat="1" applyFont="1" applyFill="1" applyBorder="1" applyAlignment="1">
      <x:alignment wrapText="1"/>
    </x:xf>
    <x:xf numFmtId="201" fontId="6" fillId="0" borderId="0" xfId="0" applyNumberFormat="1" applyFont="1" applyFill="1" applyBorder="1"/>
    <x:xf numFmtId="0" fontId="6" fillId="5" borderId="0" xfId="0" applyNumberFormat="1" applyFont="1" applyFill="1" applyBorder="1"/>
    <x:xf numFmtId="201" fontId="6" fillId="5" borderId="0" xfId="0" applyNumberFormat="1" applyFont="1" applyFill="1" applyBorder="1"/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8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4" borderId="0" xfId="0" applyNumberFormat="1" applyFont="1" applyFill="1" applyBorder="1"/>
    <x:xf numFmtId="201" fontId="8" fillId="0" borderId="0" xfId="0" applyNumberFormat="1" applyFont="1" applyFill="1" applyBorder="1"/>
    <x:xf numFmtId="0" fontId="8" fillId="5" borderId="0" xfId="0" applyNumberFormat="1" applyFont="1" applyFill="1" applyBorder="1"/>
    <x:xf numFmtId="201" fontId="8" fillId="5" borderId="0" xfId="0" applyNumberFormat="1" applyFont="1" applyFill="1" applyBorder="1"/>
    <x:xf numFmtId="0" fontId="10" fillId="5" borderId="0" xfId="0" applyNumberFormat="1" applyFont="1" applyFill="1" applyBorder="1"/>
    <x:xf numFmtId="201" fontId="10" fillId="5" borderId="0" xfId="0" applyNumberFormat="1" applyFont="1" applyFill="1" applyBorder="1"/>
    <x:xf numFmtId="0" fontId="4" fillId="6" borderId="0" xfId="0" applyNumberFormat="1" applyFont="1" applyFill="1" applyBorder="1"/>
    <x:xf numFmtId="200" fontId="4" fillId="6" borderId="0" xfId="0" applyNumberFormat="1" applyFont="1" applyFill="1" applyBorder="1"/>
    <x:xf numFmtId="0" fontId="1" fillId="7" borderId="0" xfId="0" applyNumberFormat="1" applyFont="1" applyFill="1" applyBorder="1"/>
    <x:xf numFmtId="0" fontId="11" fillId="7" borderId="0" xfId="0" applyNumberFormat="1" applyFont="1" applyFill="1" applyBorder="1"/>
    <x:xf numFmtId="201" fontId="4" fillId="6" borderId="0" xfId="0" applyNumberFormat="1" applyFont="1" applyFill="1" applyBorder="1"/>
    <x:xf numFmtId="201" fontId="11" fillId="7" borderId="0" xfId="0" applyNumberFormat="1" applyFont="1" applyFill="1" applyBorder="1"/>
    <x:xf numFmtId="0" fontId="5" fillId="8" borderId="0" xfId="0" applyNumberFormat="1" applyFont="1" applyFill="1" applyBorder="1"/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/>
    <x:xf numFmtId="0" fontId="4" fillId="9" borderId="0" xfId="0" applyNumberFormat="1" applyFont="1" applyFill="1" applyBorder="1"/>
    <x:xf numFmtId="201" fontId="4" fillId="9" borderId="0" xfId="0" applyNumberFormat="1" applyFont="1" applyFill="1" applyBorder="1"/>
    <x:xf numFmtId="0" fontId="11" fillId="10" borderId="0" xfId="0" applyNumberFormat="1" applyFont="1" applyFill="1" applyBorder="1"/>
    <x:xf numFmtId="201" fontId="11" fillId="10" borderId="0" xfId="0" applyNumberFormat="1" applyFont="1" applyFill="1" applyBorder="1"/>
    <x:xf numFmtId="0" fontId="5" fillId="11" borderId="0" xfId="0" applyNumberFormat="1" applyFont="1" applyFill="1" applyBorder="1" applyAlignment="1">
      <x:alignment vertical="center" wrapText="1"/>
    </x:xf>
    <x:xf numFmtId="203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4591471c0147b6" /><Relationship Type="http://schemas.openxmlformats.org/officeDocument/2006/relationships/theme" Target="/xl/theme/theme1.xml" Id="Rf8f453df55e54c17" /><Relationship Type="http://schemas.openxmlformats.org/officeDocument/2006/relationships/sharedStrings" Target="/xl/sharedStrings.xml" Id="Rd607609842f64e10" /><Relationship Type="http://schemas.openxmlformats.org/officeDocument/2006/relationships/worksheet" Target="/xl/worksheets/sheet1.xml" Id="Re18fe76cd63f422b" /><Relationship Type="http://schemas.openxmlformats.org/officeDocument/2006/relationships/worksheet" Target="/xl/worksheets/sheet2.xml" Id="R1c40287adc9842e0" /><Relationship Type="http://schemas.openxmlformats.org/officeDocument/2006/relationships/worksheet" Target="/xl/worksheets/sheet3.xml" Id="R1566ac40cb2149b7" /><Relationship Type="http://schemas.openxmlformats.org/officeDocument/2006/relationships/worksheet" Target="/xl/worksheets/sheet4.xml" Id="Rca306113356d4e56" /><Relationship Type="http://schemas.openxmlformats.org/officeDocument/2006/relationships/worksheet" Target="/xl/worksheets/sheet5.xml" Id="R8f31012d6e564d54" /><Relationship Type="http://schemas.openxmlformats.org/officeDocument/2006/relationships/worksheet" Target="/xl/worksheets/sheet6.xml" Id="Rabceeda35dd544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3" topLeftCell="A14" activePane="bottomLeft" state="frozen"/>
    </x:sheetView>
  </x:sheetViews>
  <x:sheetFormatPr defaultRowHeight="15"/>
  <x:cols>
    <x:col min="1" max="1" width="20" hidden="0" customWidth="1"/>
    <x:col min="2" max="2" width="70" hidden="0" customWidth="1"/>
    <x:col min="3" max="3" width="10" hidden="0" customWidth="1"/>
    <x:col min="4" max="4" width="10" hidden="0" customWidth="1"/>
    <x:col min="5" max="5" width="19" hidden="0" customWidth="1"/>
    <x:col min="6" max="6" width="19" hidden="0" customWidth="1"/>
    <x:col min="7" max="7" width="78" hidden="0" customWidth="1"/>
    <x:col min="8" max="8" width="76" hidden="0" customWidth="1"/>
    <x:col min="9" max="9" width="52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25" hidden="0" customWidth="1"/>
  </x:cols>
  <x:sheetData>
    <x:row r="2">
      <x:c r="A2" s="2" t="str">
        <x:v>Orçamento principal de materiais | TI Connect</x:v>
      </x:c>
      <x:c r="B2" s="1"/>
      <x:c r="C2" s="1"/>
      <x:c r="D2" s="1"/>
      <x:c r="E2" s="1"/>
      <x:c r="F2" s="1"/>
      <x:c r="G2" s="1"/>
      <x:c r="H2" s="1"/>
    </x:row>
    <x:row r="3">
      <x:c r="A3" s="3" t="str">
        <x:v>Preços existentes: 29/09 a 01/10/2026 · Montagem: 07/10/2026 · Fontes e provisões identificadas por item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23" customHeight="1">
      <x:c r="A5" s="1" t="str">
        <x:v>Equipamentos</x:v>
      </x:c>
      <x:c r="B5" s="19" t="n">
        <x:f>SUMIF(A14:A45,A5,F14:F45)</x:f>
        <x:v>43810.869999999995</x:v>
      </x:c>
      <x:c r="C5" s="1"/>
      <x:c r="D5" s="1"/>
      <x:c r="E5" s="1"/>
      <x:c r="F5" s="1"/>
      <x:c r="G5" s="1"/>
      <x:c r="H5" s="1"/>
    </x:row>
    <x:row r="6" ht="23" customHeight="1">
      <x:c r="A6" s="1" t="str">
        <x:v>Cabeamento</x:v>
      </x:c>
      <x:c r="B6" s="19" t="n">
        <x:f>SUMIF(A14:A45,A6,F14:F45)</x:f>
        <x:v>3309.08</x:v>
      </x:c>
      <x:c r="C6" s="1"/>
      <x:c r="D6" s="1"/>
      <x:c r="E6" s="1"/>
      <x:c r="F6" s="1"/>
      <x:c r="G6" s="1"/>
      <x:c r="H6" s="1"/>
    </x:row>
    <x:row r="7" ht="23" customHeight="1">
      <x:c r="A7" s="1" t="str">
        <x:v>Terminações</x:v>
      </x:c>
      <x:c r="B7" s="19" t="n">
        <x:f>SUMIF(A14:A45,A7,F14:F45)</x:f>
        <x:v>7553.06</x:v>
      </x:c>
      <x:c r="C7" s="1"/>
      <x:c r="D7" s="1"/>
      <x:c r="E7" s="1"/>
      <x:c r="F7" s="1"/>
      <x:c r="G7" s="1"/>
      <x:c r="H7" s="1"/>
    </x:row>
    <x:row r="8" ht="23" customHeight="1">
      <x:c r="A8" s="61" t="str">
        <x:v>Montagem</x:v>
      </x:c>
      <x:c r="B8" s="62" t="n">
        <x:f>SUMIF(A14:A45,A8,F14:F45)</x:f>
        <x:v>5300.020000000001</x:v>
      </x:c>
      <x:c r="C8" s="1"/>
      <x:c r="D8" s="1"/>
      <x:c r="E8" s="1"/>
      <x:c r="F8" s="1"/>
      <x:c r="G8" s="1"/>
      <x:c r="H8" s="1"/>
    </x:row>
    <x:row r="9" ht="26" customHeight="1">
      <x:c r="A9" s="63" t="str">
        <x:v>TOTAL DE MATERIAIS</x:v>
      </x:c>
      <x:c r="B9" s="64" t="n">
        <x:f>SUM(B5:B8)</x:f>
        <x:v>59973.03</x:v>
      </x:c>
      <x:c r="C9" s="1"/>
      <x:c r="D9" s="1"/>
      <x:c r="E9" s="1"/>
      <x:c r="F9" s="1"/>
      <x:c r="G9" s="1"/>
      <x:c r="H9" s="1"/>
    </x:row>
    <x:row r="10">
      <x:c r="A10" s="1" t="str">
        <x:v>4 pavimentos · 31 pontos de terminais · 5 APs · 2 servidores · 36 pontos de rede; computadores não incluídos</x:v>
      </x:c>
      <x:c r="B10" s="1"/>
      <x:c r="C10" s="1"/>
      <x:c r="D10" s="1"/>
      <x:c r="E10" s="1"/>
      <x:c r="F10" s="1"/>
      <x:c r="G10" s="1"/>
      <x:c r="H10" s="1"/>
    </x:row>
    <x:row r="11">
      <x:c r="A11" s="1" t="str">
        <x:v>Estimativa de materiais; mão de obra, fusões, certificação, obras civis/elétricas, licenças e frete não incluídos.</x:v>
      </x:c>
      <x:c r="B11" s="1"/>
      <x:c r="C11" s="1"/>
      <x:c r="D11" s="1"/>
      <x:c r="E11" s="1"/>
      <x:c r="F11" s="1"/>
      <x:c r="G11" s="1"/>
      <x:c r="H11" s="1"/>
    </x:row>
    <x:row r="12">
      <x:c r="A12" s="1"/>
      <x:c r="B12" s="1"/>
      <x:c r="C12" s="1"/>
      <x:c r="D12" s="1"/>
      <x:c r="E12" s="1"/>
      <x:c r="F12" s="1"/>
      <x:c r="G12" s="1"/>
      <x:c r="H12" s="1"/>
    </x:row>
    <x:row r="13" ht="30" customHeight="1">
      <x:c r="A13" s="65" t="str">
        <x:v>Grupo</x:v>
      </x:c>
      <x:c r="B13" s="65" t="str">
        <x:v>Item / especificação de referência</x:v>
      </x:c>
      <x:c r="C13" s="65" t="str">
        <x:v>Qtd.</x:v>
      </x:c>
      <x:c r="D13" s="65" t="str">
        <x:v>Un.</x:v>
      </x:c>
      <x:c r="E13" s="65" t="str">
        <x:v>Preço unit. (R$)</x:v>
      </x:c>
      <x:c r="F13" s="65" t="str">
        <x:v>Total (R$)</x:v>
      </x:c>
      <x:c r="G13" s="65" t="str">
        <x:v>Aplicação / premissa técnica</x:v>
      </x:c>
      <x:c r="H13" s="65" t="str">
        <x:v>Fonte / URL</x:v>
      </x:c>
      <x:c r="I13" s="65" t="str">
        <x:v>Modelo / referência</x:v>
      </x:c>
      <x:c r="J13" s="65" t="str">
        <x:v>Térreo (R$)</x:v>
      </x:c>
      <x:c r="K13" s="65" t="str">
        <x:v>1º andar (R$)</x:v>
      </x:c>
      <x:c r="L13" s="65" t="str">
        <x:v>2º andar (R$)</x:v>
      </x:c>
      <x:c r="M13" s="65" t="str">
        <x:v>3º andar (R$)</x:v>
      </x:c>
      <x:c r="N13" s="65" t="str">
        <x:v>Loja / fonte</x:v>
      </x:c>
      <x:c r="O13" s="65" t="str">
        <x:v>Referência dos preços</x:v>
      </x:c>
    </x:row>
    <x:row r="14" ht="65" customHeight="1">
      <x:c r="A14" s="8" t="str">
        <x:v>Equipamentos</x:v>
      </x:c>
      <x:c r="B14" s="27" t="str">
        <x:v>Rack de parede 19" 12U Intelbras MRD 1257</x:v>
      </x:c>
      <x:c r="C14" s="21" t="n">
        <x:v>4</x:v>
      </x:c>
      <x:c r="D14" s="8" t="str">
        <x:v>un</x:v>
      </x:c>
      <x:c r="E14" s="16" t="n">
        <x:v>1014.42</x:v>
      </x:c>
      <x:c r="F14" s="16" t="n">
        <x:f>ROUND(C14*E14,2)</x:f>
        <x:v>4057.68</x:v>
      </x:c>
      <x:c r="G14" s="27" t="str">
        <x:v>RACK-T / RACK-CPD / RACK-2 / RACK-3; servidores em torre fora do rack</x:v>
      </x:c>
      <x:c r="H14" s="27" t="str">
        <x:v>https://www.kabum.com.br/produto/303757/mini-rack-desmontavel-de-parede-12u-19-x-570mm-intelbras-mrd-1257</x:v>
      </x:c>
      <x:c r="I14" s="26" t="str">
        <x:v>Intelbras MRD 1257</x:v>
      </x:c>
      <x:c r="J14" s="20" t="n">
        <x:f>'Térreo'!G7</x:f>
        <x:v>1014.42</x:v>
      </x:c>
      <x:c r="K14" s="20" t="n">
        <x:f>'1º andar'!G7</x:f>
        <x:v>1014.42</x:v>
      </x:c>
      <x:c r="L14" s="20" t="n">
        <x:f>'2º andar'!G7</x:f>
        <x:v>1014.42</x:v>
      </x:c>
      <x:c r="M14" s="20" t="n">
        <x:f>'3º andar'!G7</x:f>
        <x:v>1014.4200000000001</x:v>
      </x:c>
      <x:c r="N14" s="26" t="str">
        <x:v>KaBuM!</x:v>
      </x:c>
      <x:c r="O14" s="26" t="str">
        <x:v>29/09 a 01/10/2026</x:v>
      </x:c>
    </x:row>
    <x:row r="15" ht="65" customHeight="1">
      <x:c r="A15" s="8" t="str">
        <x:v>Equipamentos</x:v>
      </x:c>
      <x:c r="B15" s="27" t="str">
        <x:v>Switch acesso térreo TP-Link TL-SG108E, 8xGbE Easy Smart</x:v>
      </x:c>
      <x:c r="C15" s="21" t="n">
        <x:v>1</x:v>
      </x:c>
      <x:c r="D15" s="8" t="str">
        <x:v>un</x:v>
      </x:c>
      <x:c r="E15" s="16" t="n">
        <x:v>332.38</x:v>
      </x:c>
      <x:c r="F15" s="16" t="n">
        <x:f>ROUND(C15*E15,2)</x:f>
        <x:v>332.38</x:v>
      </x:c>
      <x:c r="G15" s="27" t="str">
        <x:v>SW-T-01: 1 terminal + uplink; 6 portas livres; VLAN 802.1Q, sem PoE/SFP</x:v>
      </x:c>
      <x:c r="H15" s="27" t="str">
        <x:v>https://www.kabum.com.br/produto/1049615/switch-tp-link-tl-sg108e-8-portas-10-100-1000-unmanaged-gigabit-ethernet-metal-montagem-em-rack-ideal-rede-profissional</x:v>
      </x:c>
      <x:c r="I15" s="26" t="str">
        <x:v>TP-Link TL-SG108E</x:v>
      </x:c>
      <x:c r="J15" s="20" t="n">
        <x:f>'Térreo'!G8</x:f>
        <x:v>332.38</x:v>
      </x:c>
      <x:c r="K15" s="20" t="n">
        <x:v>0</x:v>
      </x:c>
      <x:c r="L15" s="20" t="n">
        <x:v>0</x:v>
      </x:c>
      <x:c r="M15" s="20" t="n">
        <x:v>0</x:v>
      </x:c>
      <x:c r="N15" s="26" t="str">
        <x:v>KaBuM!</x:v>
      </x:c>
      <x:c r="O15" s="26" t="str">
        <x:v>29/09 a 01/10/2026</x:v>
      </x:c>
    </x:row>
    <x:row r="16" ht="65" customHeight="1">
      <x:c r="A16" s="8" t="str">
        <x:v>Equipamentos</x:v>
      </x:c>
      <x:c r="B16" s="27" t="str">
        <x:v>Switch acesso 1º/3º TP-Link TL-SG116E, 16xGbE Easy Smart</x:v>
      </x:c>
      <x:c r="C16" s="21" t="n">
        <x:v>2</x:v>
      </x:c>
      <x:c r="D16" s="8" t="str">
        <x:v>un</x:v>
      </x:c>
      <x:c r="E16" s="16" t="n">
        <x:v>412.74</x:v>
      </x:c>
      <x:c r="F16" s="16" t="n">
        <x:f>ROUND(C16*E16,2)</x:f>
        <x:v>825.48</x:v>
      </x:c>
      <x:c r="G16" s="27" t="str">
        <x:v>N3: 6 terminais + 2 servidores + uplink = 9; 3º: 10 terminais + uplink = 11; sem PoE/SFP</x:v>
      </x:c>
      <x:c r="H16" s="27" t="str">
        <x:v>https://www.kabum.com.br/produto/384130/switch-tp-link-16-portas-10-100-1000-mbps-tl-sg116e</x:v>
      </x:c>
      <x:c r="I16" s="26" t="str">
        <x:v>TP-Link TL-SG116E</x:v>
      </x:c>
      <x:c r="J16" s="20" t="n">
        <x:v>0</x:v>
      </x:c>
      <x:c r="K16" s="20" t="n">
        <x:f>'1º andar'!G8</x:f>
        <x:v>412.74</x:v>
      </x:c>
      <x:c r="L16" s="20" t="n">
        <x:v>0</x:v>
      </x:c>
      <x:c r="M16" s="20" t="n">
        <x:f>'3º andar'!G8</x:f>
        <x:v>412.74</x:v>
      </x:c>
      <x:c r="N16" s="26" t="str">
        <x:v>KaBuM!</x:v>
      </x:c>
      <x:c r="O16" s="26" t="str">
        <x:v>29/09 a 01/10/2026</x:v>
      </x:c>
    </x:row>
    <x:row r="17" ht="65" customHeight="1">
      <x:c r="A17" s="8" t="str">
        <x:v>Equipamentos</x:v>
      </x:c>
      <x:c r="B17" s="27" t="str">
        <x:v>Switch acesso 2º TP-Link Omada ES224G, 24xGbE Easy Managed</x:v>
      </x:c>
      <x:c r="C17" s="21" t="n">
        <x:v>1</x:v>
      </x:c>
      <x:c r="D17" s="8" t="str">
        <x:v>un</x:v>
      </x:c>
      <x:c r="E17" s="16" t="n">
        <x:v>999.99</x:v>
      </x:c>
      <x:c r="F17" s="16" t="n">
        <x:f>ROUND(C17*E17,2)</x:f>
        <x:v>999.99</x:v>
      </x:c>
      <x:c r="G17" s="27" t="str">
        <x:v>SW-TMK-01: 14 terminais + uplink = 15; 9 portas livres; sem PoE/SFP</x:v>
      </x:c>
      <x:c r="H17" s="27" t="str">
        <x:v>https://www.waz.com.br/switch-gerenciavel-24-portas-gigabit-tp-link-es224g-133595-html/p</x:v>
      </x:c>
      <x:c r="I17" s="26" t="str">
        <x:v>TP-Link ES224G</x:v>
      </x:c>
      <x:c r="J17" s="20" t="n">
        <x:v>0</x:v>
      </x:c>
      <x:c r="K17" s="20" t="n">
        <x:v>0</x:v>
      </x:c>
      <x:c r="L17" s="20" t="n">
        <x:f>'2º andar'!G8</x:f>
        <x:v>999.99</x:v>
      </x:c>
      <x:c r="M17" s="20" t="n">
        <x:v>0</x:v>
      </x:c>
      <x:c r="N17" s="26" t="str">
        <x:v>Waz</x:v>
      </x:c>
      <x:c r="O17" s="26" t="str">
        <x:v>29/09 a 01/10/2026</x:v>
      </x:c>
    </x:row>
    <x:row r="18" ht="65" customHeight="1">
      <x:c r="A18" s="8" t="str">
        <x:v>Equipamentos</x:v>
      </x:c>
      <x:c r="B18" s="27" t="str">
        <x:v>Switch distribuição/PoE TP-Link TL-SG2210MP, 8xPoE+ + 2 SFP, 150 W</x:v>
      </x:c>
      <x:c r="C18" s="21" t="n">
        <x:v>4</x:v>
      </x:c>
      <x:c r="D18" s="8" t="str">
        <x:v>un</x:v>
      </x:c>
      <x:c r="E18" s="16" t="n">
        <x:v>1044</x:v>
      </x:c>
      <x:c r="F18" s="16" t="n">
        <x:f>ROUND(C18*E18,2)</x:f>
        <x:v>4176</x:v>
      </x:c>
      <x:c r="G18" s="27" t="str">
        <x:v>SW-BB-T/1/2/3: backbone, uplink local e 5 APs; 2 SFP nos andares intermediários</x:v>
      </x:c>
      <x:c r="H18" s="27" t="str">
        <x:v>https://www.magazineluiza.com.br/switch-gigabit-tp-link-8-portas-2-sfp-sg2210mp-poe-150w/p/efbdb23fa4/in/swit/</x:v>
      </x:c>
      <x:c r="I18" s="26" t="str">
        <x:v>TP-Link TL-SG2210MP</x:v>
      </x:c>
      <x:c r="J18" s="20" t="n">
        <x:f>'Térreo'!G9</x:f>
        <x:v>1044</x:v>
      </x:c>
      <x:c r="K18" s="20" t="n">
        <x:f>'1º andar'!G9</x:f>
        <x:v>1044</x:v>
      </x:c>
      <x:c r="L18" s="20" t="n">
        <x:f>'2º andar'!G9</x:f>
        <x:v>1044</x:v>
      </x:c>
      <x:c r="M18" s="20" t="n">
        <x:f>'3º andar'!G9</x:f>
        <x:v>1044</x:v>
      </x:c>
      <x:c r="N18" s="26" t="str">
        <x:v>Magazine Luiza</x:v>
      </x:c>
      <x:c r="O18" s="26" t="str">
        <x:v>29/09 a 01/10/2026</x:v>
      </x:c>
    </x:row>
    <x:row r="19" ht="65" customHeight="1">
      <x:c r="A19" s="8" t="str">
        <x:v>Equipamentos</x:v>
      </x:c>
      <x:c r="B19" s="27" t="str">
        <x:v>Roteador/gateway TP-Link ER605 — exigir revisão V2</x:v>
      </x:c>
      <x:c r="C19" s="21" t="n">
        <x:v>1</x:v>
      </x:c>
      <x:c r="D19" s="8" t="str">
        <x:v>un</x:v>
      </x:c>
      <x:c r="E19" s="16" t="n">
        <x:v>459.99</x:v>
      </x:c>
      <x:c r="F19" s="16" t="n">
        <x:f>ROUND(C19*E19,2)</x:f>
        <x:v>459.99</x:v>
      </x:c>
      <x:c r="G19" s="27" t="str">
        <x:v>FW-01: gateway ER605 V2, NAT, VLAN e ACL; portas Gigabit; Wi-Fi nos APs</x:v>
      </x:c>
      <x:c r="H19" s="27" t="str">
        <x:v>https://www.pichau.com.br/roteador-tp-link-omada-vpn-multi-wan-gigabit-er605</x:v>
      </x:c>
      <x:c r="I19" s="26" t="str">
        <x:v>TP-Link ER605 V2</x:v>
      </x:c>
      <x:c r="J19" s="20" t="n">
        <x:f>'Térreo'!G10</x:f>
        <x:v>459.99</x:v>
      </x:c>
      <x:c r="K19" s="20" t="n">
        <x:v>0</x:v>
      </x:c>
      <x:c r="L19" s="20" t="n">
        <x:v>0</x:v>
      </x:c>
      <x:c r="M19" s="20" t="n">
        <x:v>0</x:v>
      </x:c>
      <x:c r="N19" s="26" t="str">
        <x:v>Pichau</x:v>
      </x:c>
      <x:c r="O19" s="26" t="str">
        <x:v>29/09 a 01/10/2026</x:v>
      </x:c>
    </x:row>
    <x:row r="20" ht="65" customHeight="1">
      <x:c r="A20" s="8" t="str">
        <x:v>Equipamentos</x:v>
      </x:c>
      <x:c r="B20" s="27" t="str">
        <x:v>AP corporativo TP-Link EAP610 Wi-Fi 6, 802.3at</x:v>
      </x:c>
      <x:c r="C20" s="21" t="n">
        <x:v>4</x:v>
      </x:c>
      <x:c r="D20" s="8" t="str">
        <x:v>un</x:v>
      </x:c>
      <x:c r="E20" s="16" t="n">
        <x:v>849.9</x:v>
      </x:c>
      <x:c r="F20" s="16" t="n">
        <x:f>ROUND(C20*E20,2)</x:f>
        <x:v>3399.6</x:v>
      </x:c>
      <x:c r="G20" s="27" t="str">
        <x:v>AP-CORP-T, AP-1-01, AP-2-01, AP-3-01; um por pavimento</x:v>
      </x:c>
      <x:c r="H20" s="27" t="str">
        <x:v>https://www.kabum.com.br/produto/388006/access-point-tp-link-eap610-ax1800-1775mbps-omada-wi-fi-6-montavel-em-teto</x:v>
      </x:c>
      <x:c r="I20" s="26" t="str">
        <x:v>TP-Link EAP610</x:v>
      </x:c>
      <x:c r="J20" s="20" t="n">
        <x:f>'Térreo'!G11</x:f>
        <x:v>849.9</x:v>
      </x:c>
      <x:c r="K20" s="20" t="n">
        <x:f>'1º andar'!G10</x:f>
        <x:v>849.9</x:v>
      </x:c>
      <x:c r="L20" s="20" t="n">
        <x:f>'2º andar'!G10</x:f>
        <x:v>849.9</x:v>
      </x:c>
      <x:c r="M20" s="20" t="n">
        <x:f>'3º andar'!G10</x:f>
        <x:v>849.9000000000001</x:v>
      </x:c>
      <x:c r="N20" s="26" t="str">
        <x:v>KaBuM!</x:v>
      </x:c>
      <x:c r="O20" s="26" t="str">
        <x:v>29/09 a 01/10/2026</x:v>
      </x:c>
    </x:row>
    <x:row r="21" ht="65" customHeight="1">
      <x:c r="A21" s="8" t="str">
        <x:v>Equipamentos</x:v>
      </x:c>
      <x:c r="B21" s="27" t="str">
        <x:v>AP visitantes TP-Link EAP610 Wi-Fi 6, 802.3at</x:v>
      </x:c>
      <x:c r="C21" s="21" t="n">
        <x:v>1</x:v>
      </x:c>
      <x:c r="D21" s="8" t="str">
        <x:v>un</x:v>
      </x:c>
      <x:c r="E21" s="16" t="n">
        <x:v>849.9</x:v>
      </x:c>
      <x:c r="F21" s="16" t="n">
        <x:f>ROUND(C21*E21,2)</x:f>
        <x:v>849.9</x:v>
      </x:c>
      <x:c r="G21" s="27" t="str">
        <x:v>AP-VIS-01 na recepção; VLAN 30/SSID visitantes isolados</x:v>
      </x:c>
      <x:c r="H21" s="27" t="str">
        <x:v>https://www.kabum.com.br/produto/388006/access-point-tp-link-eap610-ax1800-1775mbps-omada-wi-fi-6-montavel-em-teto</x:v>
      </x:c>
      <x:c r="I21" s="26" t="str">
        <x:v>TP-Link EAP610</x:v>
      </x:c>
      <x:c r="J21" s="20" t="n">
        <x:f>'Térreo'!G12</x:f>
        <x:v>849.9</x:v>
      </x:c>
      <x:c r="K21" s="20" t="n">
        <x:v>0</x:v>
      </x:c>
      <x:c r="L21" s="20" t="n">
        <x:v>0</x:v>
      </x:c>
      <x:c r="M21" s="20" t="n">
        <x:v>0</x:v>
      </x:c>
      <x:c r="N21" s="26" t="str">
        <x:v>KaBuM!</x:v>
      </x:c>
      <x:c r="O21" s="26" t="str">
        <x:v>29/09 a 01/10/2026</x:v>
      </x:c>
    </x:row>
    <x:row r="22" ht="65" customHeight="1">
      <x:c r="A22" s="8" t="str">
        <x:v>Equipamentos</x:v>
      </x:c>
      <x:c r="B22" s="27" t="str">
        <x:v>Servidor principal Lenovo ST50 V3 Xeon E-2414, 16 GB, 2 TB</x:v>
      </x:c>
      <x:c r="C22" s="21" t="n">
        <x:v>1</x:v>
      </x:c>
      <x:c r="D22" s="8" t="str">
        <x:v>un</x:v>
      </x:c>
      <x:c r="E22" s="16" t="n">
        <x:v>11287.48</x:v>
      </x:c>
      <x:c r="F22" s="16" t="n">
        <x:f>ROUND(C22*E22,2)</x:f>
        <x:v>11287.48</x:v>
      </x:c>
      <x:c r="G22" s="27" t="str">
        <x:v>SRV-01: SKU 7DF3S3DG00, 16 GB / 2 TB, sem SO; dimensionar aplicações e memória ECC</x:v>
      </x:c>
      <x:c r="H22" s="27" t="str">
        <x:v>https://www.hdstore.com.br/servidor-lenovo-thinksystem-st50-v3-xeon-e-2414-4c-26ghz-16gb-2tb-300w-3-anos-de-garantia</x:v>
      </x:c>
      <x:c r="I22" s="26" t="str">
        <x:v>Lenovo ST50 V3 / 7DF3S3DG00</x:v>
      </x:c>
      <x:c r="J22" s="20" t="n">
        <x:v>0</x:v>
      </x:c>
      <x:c r="K22" s="20" t="n">
        <x:f>'1º andar'!G11</x:f>
        <x:v>11287.48</x:v>
      </x:c>
      <x:c r="L22" s="20" t="n">
        <x:v>0</x:v>
      </x:c>
      <x:c r="M22" s="20" t="n">
        <x:v>0</x:v>
      </x:c>
      <x:c r="N22" s="26" t="str">
        <x:v>HD Store</x:v>
      </x:c>
      <x:c r="O22" s="26" t="str">
        <x:v>29/09 a 01/10/2026</x:v>
      </x:c>
    </x:row>
    <x:row r="23" ht="65" customHeight="1">
      <x:c r="A23" s="8" t="str">
        <x:v>Equipamentos</x:v>
      </x:c>
      <x:c r="B23" s="27" t="str">
        <x:v>Servidor backup Lenovo ST50 V3 Xeon E-2414, 16 GB, 2 TB</x:v>
      </x:c>
      <x:c r="C23" s="21" t="n">
        <x:v>1</x:v>
      </x:c>
      <x:c r="D23" s="8" t="str">
        <x:v>un</x:v>
      </x:c>
      <x:c r="E23" s="16" t="n">
        <x:v>11287.48</x:v>
      </x:c>
      <x:c r="F23" s="16" t="n">
        <x:f>ROUND(C23*E23,2)</x:f>
        <x:v>11287.48</x:v>
      </x:c>
      <x:c r="G23" s="27" t="str">
        <x:v>BKP-01: 16 GB / 2 TB brutos, sem SO; dimensionar retenção e redundância de discos</x:v>
      </x:c>
      <x:c r="H23" s="27" t="str">
        <x:v>https://www.hdstore.com.br/servidor-lenovo-thinksystem-st50-v3-xeon-e-2414-4c-26ghz-16gb-2tb-300w-3-anos-de-garantia</x:v>
      </x:c>
      <x:c r="I23" s="26" t="str">
        <x:v>Lenovo ST50 V3 / 7DF3S3DG00</x:v>
      </x:c>
      <x:c r="J23" s="20" t="n">
        <x:v>0</x:v>
      </x:c>
      <x:c r="K23" s="20" t="n">
        <x:f>'1º andar'!G12</x:f>
        <x:v>11287.48</x:v>
      </x:c>
      <x:c r="L23" s="20" t="n">
        <x:v>0</x:v>
      </x:c>
      <x:c r="M23" s="20" t="n">
        <x:v>0</x:v>
      </x:c>
      <x:c r="N23" s="26" t="str">
        <x:v>HD Store</x:v>
      </x:c>
      <x:c r="O23" s="26" t="str">
        <x:v>29/09 a 01/10/2026</x:v>
      </x:c>
    </x:row>
    <x:row r="24" ht="65" customHeight="1">
      <x:c r="A24" s="8" t="str">
        <x:v>Equipamentos</x:v>
      </x:c>
      <x:c r="B24" s="27" t="str">
        <x:v>Nobreak Intelbras ATTIV 700 VA para rede de andar</x:v>
      </x:c>
      <x:c r="C24" s="21" t="n">
        <x:v>3</x:v>
      </x:c>
      <x:c r="D24" s="8" t="str">
        <x:v>un</x:v>
      </x:c>
      <x:c r="E24" s="16" t="n">
        <x:v>519.63</x:v>
      </x:c>
      <x:c r="F24" s="16" t="n">
        <x:f>ROUND(C24*E24,2)</x:f>
        <x:v>1558.89</x:v>
      </x:c>
      <x:c r="G24" s="27" t="str">
        <x:v>Térreo, 2º e 3º: switches/roteador/APs; tensão e autonomia a validar</x:v>
      </x:c>
      <x:c r="H24" s="27" t="str">
        <x:v>https://www.magazineluiza.com.br/nobreak-attiv-700va-220v-intelbras/p/ebe051fccd/in/nbak/</x:v>
      </x:c>
      <x:c r="I24" s="26" t="str">
        <x:v>Intelbras ATTIV 700 VA / 220 V</x:v>
      </x:c>
      <x:c r="J24" s="20" t="n">
        <x:f>'Térreo'!G13</x:f>
        <x:v>519.63</x:v>
      </x:c>
      <x:c r="K24" s="20" t="n">
        <x:v>0</x:v>
      </x:c>
      <x:c r="L24" s="20" t="n">
        <x:f>'2º andar'!G11</x:f>
        <x:v>519.63</x:v>
      </x:c>
      <x:c r="M24" s="20" t="n">
        <x:f>'3º andar'!G11</x:f>
        <x:v>519.6300000000001</x:v>
      </x:c>
      <x:c r="N24" s="26" t="str">
        <x:v>Magazine Luiza</x:v>
      </x:c>
      <x:c r="O24" s="26" t="str">
        <x:v>29/09 a 01/10/2026</x:v>
      </x:c>
    </x:row>
    <x:row r="25" ht="65" customHeight="1">
      <x:c r="A25" s="8" t="str">
        <x:v>Equipamentos</x:v>
      </x:c>
      <x:c r="B25" s="27" t="str">
        <x:v>Nobreak SMS Gamer 1500 VA/1050 W senoidal pura</x:v>
      </x:c>
      <x:c r="C25" s="21" t="n">
        <x:v>2</x:v>
      </x:c>
      <x:c r="D25" s="8" t="str">
        <x:v>un</x:v>
      </x:c>
      <x:c r="E25" s="16" t="n">
        <x:v>2288</x:v>
      </x:c>
      <x:c r="F25" s="16" t="n">
        <x:f>ROUND(C25*E25,2)</x:f>
        <x:v>4576</x:v>
      </x:c>
      <x:c r="G25" s="27" t="str">
        <x:v>Sala de servidores: 1 para SRV-01, 1 para BKP-01 e rede do 1º andar</x:v>
      </x:c>
      <x:c r="H25" s="27" t="str">
        <x:v>https://www.kabum.com.br/produto/479332/nobreak-sms-gamer-1500va-1050w-senoidal-interativo-entrada-115-220v-saida-115-220v-29600</x:v>
      </x:c>
      <x:c r="I25" s="26" t="str">
        <x:v>SMS Gamer 29600</x:v>
      </x:c>
      <x:c r="J25" s="20" t="n">
        <x:v>0</x:v>
      </x:c>
      <x:c r="K25" s="20" t="n">
        <x:f>'1º andar'!G13</x:f>
        <x:v>4576</x:v>
      </x:c>
      <x:c r="L25" s="20" t="n">
        <x:v>0</x:v>
      </x:c>
      <x:c r="M25" s="20" t="n">
        <x:v>0</x:v>
      </x:c>
      <x:c r="N25" s="26" t="str">
        <x:v>KaBuM!</x:v>
      </x:c>
      <x:c r="O25" s="26" t="str">
        <x:v>29/09 a 01/10/2026</x:v>
      </x:c>
    </x:row>
    <x:row r="26" ht="65" customHeight="1">
      <x:c r="A26" s="8" t="str">
        <x:v>Cabeamento</x:v>
      </x:c>
      <x:c r="B26" s="27" t="str">
        <x:v>Cabo U/UTP Cat6 Furukawa SOHOPLUS, caixa 305 m</x:v>
      </x:c>
      <x:c r="C26" s="21" t="n">
        <x:v>2</x:v>
      </x:c>
      <x:c r="D26" s="8" t="str">
        <x:v>cx</x:v>
      </x:c>
      <x:c r="E26" s="16" t="n">
        <x:v>1199.9</x:v>
      </x:c>
      <x:c r="F26" s="16" t="n">
        <x:f>ROUND(C26*E26,2)</x:f>
        <x:v>2399.8</x:v>
      </x:c>
      <x:c r="G26" s="27" t="str">
        <x:v>36 enlaces; planta: mínimo ortogonal 395,4 m (escala 1u=1m), +20%=474,5 m; 610 m comprados</x:v>
      </x:c>
      <x:c r="H26" s="27" t="str">
        <x:v>https://www.kabum.com.br/produto/109964/cabo-de-rede-cat-6-furukawa-sohoplus-305-metros-branco-23400199</x:v>
      </x:c>
      <x:c r="I26" s="26" t="str">
        <x:v>Furukawa SOHOPLUS 23400199</x:v>
      </x:c>
      <x:c r="J26" s="20" t="n">
        <x:f>'Térreo'!G14</x:f>
        <x:v>133.76</x:v>
      </x:c>
      <x:c r="K26" s="20" t="n">
        <x:f>'1º andar'!G14</x:f>
        <x:v>456.36</x:v>
      </x:c>
      <x:c r="L26" s="20" t="n">
        <x:f>'2º andar'!G12</x:f>
        <x:v>1195.97</x:v>
      </x:c>
      <x:c r="M26" s="20" t="n">
        <x:f>'3º andar'!G12</x:f>
        <x:v>613.71</x:v>
      </x:c>
      <x:c r="N26" s="26" t="str">
        <x:v>KaBuM!</x:v>
      </x:c>
      <x:c r="O26" s="26" t="str">
        <x:v>29/09 a 01/10/2026</x:v>
      </x:c>
    </x:row>
    <x:row r="27" ht="65" customHeight="1">
      <x:c r="A27" s="8" t="str">
        <x:v>Cabeamento</x:v>
      </x:c>
      <x:c r="B27" s="27" t="str">
        <x:v>Cabo óptico monomodo 6FO antichamas, rolo 50 m</x:v>
      </x:c>
      <x:c r="C27" s="21" t="n">
        <x:v>2</x:v>
      </x:c>
      <x:c r="D27" s="8" t="str">
        <x:v>rolo</x:v>
      </x:c>
      <x:c r="E27" s="16" t="n">
        <x:v>454.64</x:v>
      </x:c>
      <x:c r="F27" s="16" t="n">
        <x:f>ROUND(C27*E27,2)</x:f>
        <x:v>909.28</x:v>
      </x:c>
      <x:c r="G27" s="27" t="str">
        <x:v>3 trechos rack–rack; PDF mede shaft 16,33 m; 100 m comprados para percurso lateral</x:v>
      </x:c>
      <x:c r="H27" s="27" t="str">
        <x:v>https://loja.ctmd.eng.br/fibra-optica/9836-cabo-fibra-optica-monomodo-6fo-antichamas-int-ext-p-calhas-50m-.html</x:v>
      </x:c>
      <x:c r="I27" s="26" t="str">
        <x:v>Monomodo 6FO antichamas / 50 m (SKU não informado)</x:v>
      </x:c>
      <x:c r="J27" s="20" t="n">
        <x:f>'Térreo'!G15</x:f>
        <x:v>227.32</x:v>
      </x:c>
      <x:c r="K27" s="20" t="n">
        <x:f>'1º andar'!G15</x:f>
        <x:v>227.32</x:v>
      </x:c>
      <x:c r="L27" s="20" t="n">
        <x:f>'2º andar'!G13</x:f>
        <x:v>227.32</x:v>
      </x:c>
      <x:c r="M27" s="20" t="n">
        <x:f>'3º andar'!G13</x:f>
        <x:v>227.31999999999994</x:v>
      </x:c>
      <x:c r="N27" s="26" t="str">
        <x:v>CTMD</x:v>
      </x:c>
      <x:c r="O27" s="26" t="str">
        <x:v>29/09 a 01/10/2026</x:v>
      </x:c>
    </x:row>
    <x:row r="28" ht="65" customHeight="1">
      <x:c r="A28" s="8" t="str">
        <x:v>Terminações</x:v>
      </x:c>
      <x:c r="B28" s="27" t="str">
        <x:v>Patch panel Cat6 Furukawa 24 portas</x:v>
      </x:c>
      <x:c r="C28" s="21" t="n">
        <x:v>4</x:v>
      </x:c>
      <x:c r="D28" s="8" t="str">
        <x:v>un</x:v>
      </x:c>
      <x:c r="E28" s="16" t="n">
        <x:v>579.9</x:v>
      </x:c>
      <x:c r="F28" s="16" t="n">
        <x:f>ROUND(C28*E28,2)</x:f>
        <x:v>2319.6</x:v>
      </x:c>
      <x:c r="G28" s="27" t="str">
        <x:v>1 por rack: térreo 3, 1º 7, 2º 15, 3º 11 terminações de área</x:v>
      </x:c>
      <x:c r="H28" s="27" t="str">
        <x:v>https://www.kabum.com.br/produto/474007/patch-panel-furukawa-t568a-b-soho-plus-cat-6-24-portas-35050439</x:v>
      </x:c>
      <x:c r="I28" s="26" t="str">
        <x:v>Furukawa SOHOPLUS 35050439</x:v>
      </x:c>
      <x:c r="J28" s="20" t="n">
        <x:f>'Térreo'!G16</x:f>
        <x:v>579.9</x:v>
      </x:c>
      <x:c r="K28" s="20" t="n">
        <x:f>'1º andar'!G16</x:f>
        <x:v>579.9</x:v>
      </x:c>
      <x:c r="L28" s="20" t="n">
        <x:f>'2º andar'!G14</x:f>
        <x:v>579.9</x:v>
      </x:c>
      <x:c r="M28" s="20" t="n">
        <x:f>'3º andar'!G14</x:f>
        <x:v>579.9000000000001</x:v>
      </x:c>
      <x:c r="N28" s="26" t="str">
        <x:v>KaBuM!</x:v>
      </x:c>
      <x:c r="O28" s="26" t="str">
        <x:v>29/09 a 01/10/2026</x:v>
      </x:c>
    </x:row>
    <x:row r="29" ht="65" customHeight="1">
      <x:c r="A29" s="8" t="str">
        <x:v>Terminações</x:v>
      </x:c>
      <x:c r="B29" s="27" t="str">
        <x:v>Keystone fêmea RJ45 Cat6</x:v>
      </x:c>
      <x:c r="C29" s="21" t="n">
        <x:v>36</x:v>
      </x:c>
      <x:c r="D29" s="8" t="str">
        <x:v>un</x:v>
      </x:c>
      <x:c r="E29" s="16" t="n">
        <x:v>23.35</x:v>
      </x:c>
      <x:c r="F29" s="16" t="n">
        <x:f>ROUND(C29*E29,2)</x:f>
        <x:v>840.6</x:v>
      </x:c>
      <x:c r="G29" s="27" t="str">
        <x:v>31 pontos de terminais + 5 APs; servidores ligados localmente por patch cord</x:v>
      </x:c>
      <x:c r="H29" s="27" t="str">
        <x:v>https://www.kabum.com.br/produto/449852/conector-rj45-femea-utp-branco-cat-6</x:v>
      </x:c>
      <x:c r="I29" s="26" t="str">
        <x:v>RJ45 fêmea UTP Cat6 (SKU não informado)</x:v>
      </x:c>
      <x:c r="J29" s="20" t="n">
        <x:f>'Térreo'!G17</x:f>
        <x:v>70.05</x:v>
      </x:c>
      <x:c r="K29" s="20" t="n">
        <x:f>'1º andar'!G17</x:f>
        <x:v>163.45</x:v>
      </x:c>
      <x:c r="L29" s="20" t="n">
        <x:f>'2º andar'!G15</x:f>
        <x:v>350.25</x:v>
      </x:c>
      <x:c r="M29" s="20" t="n">
        <x:f>'3º andar'!G15</x:f>
        <x:v>256.85</x:v>
      </x:c>
      <x:c r="N29" s="26" t="str">
        <x:v>KaBuM!</x:v>
      </x:c>
      <x:c r="O29" s="26" t="str">
        <x:v>29/09 a 01/10/2026</x:v>
      </x:c>
    </x:row>
    <x:row r="30" ht="65" customHeight="1">
      <x:c r="A30" s="8" t="str">
        <x:v>Terminações</x:v>
      </x:c>
      <x:c r="B30" s="27" t="str">
        <x:v>Caixa de sobrepor 2 saídas para ponto de mesa</x:v>
      </x:c>
      <x:c r="C30" s="21" t="n">
        <x:v>31</x:v>
      </x:c>
      <x:c r="D30" s="8" t="str">
        <x:v>un</x:v>
      </x:c>
      <x:c r="E30" s="16" t="n">
        <x:v>5.22</x:v>
      </x:c>
      <x:c r="F30" s="16" t="n">
        <x:f>ROUND(C30*E30,2)</x:f>
        <x:v>161.82</x:v>
      </x:c>
      <x:c r="G30" s="27" t="str">
        <x:v>1 em cada estação cabeada; 5 APs usam caixa de teto própria</x:v>
      </x:c>
      <x:c r="H30" s="27" t="str">
        <x:v>https://www.centralcabos.com.br/caixa-sobrepor-2-saidas---3402/p</x:v>
      </x:c>
      <x:c r="I30" s="26" t="str">
        <x:v>Central Cabos ref. 3402</x:v>
      </x:c>
      <x:c r="J30" s="20" t="n">
        <x:f>'Térreo'!G18</x:f>
        <x:v>5.22</x:v>
      </x:c>
      <x:c r="K30" s="20" t="n">
        <x:f>'1º andar'!G18</x:f>
        <x:v>31.32</x:v>
      </x:c>
      <x:c r="L30" s="20" t="n">
        <x:f>'2º andar'!G16</x:f>
        <x:v>73.08</x:v>
      </x:c>
      <x:c r="M30" s="20" t="n">
        <x:f>'3º andar'!G16</x:f>
        <x:v>52.19999999999999</x:v>
      </x:c>
      <x:c r="N30" s="26" t="str">
        <x:v>Central Cabos</x:v>
      </x:c>
      <x:c r="O30" s="26" t="str">
        <x:v>29/09 a 01/10/2026</x:v>
      </x:c>
    </x:row>
    <x:row r="31" ht="65" customHeight="1">
      <x:c r="A31" s="8" t="str">
        <x:v>Terminações</x:v>
      </x:c>
      <x:c r="B31" s="27" t="str">
        <x:v>Caixa octogonal PVC 4x4 Tramontina 57500/005 para AP</x:v>
      </x:c>
      <x:c r="C31" s="21" t="n">
        <x:v>5</x:v>
      </x:c>
      <x:c r="D31" s="8" t="str">
        <x:v>un</x:v>
      </x:c>
      <x:c r="E31" s="16" t="n">
        <x:v>10.2</x:v>
      </x:c>
      <x:c r="F31" s="16" t="n">
        <x:f>ROUND(C31*E31,2)</x:f>
        <x:v>51</x:v>
      </x:c>
      <x:c r="G31" s="27" t="str">
        <x:v>1 por AP para acomodar terminação, sujeito ao tipo de forro</x:v>
      </x:c>
      <x:c r="H31" s="27" t="str">
        <x:v>https://www.magazineluiza.com.br/caixa-de-pvc-octogonal-4x4-amarela-c-fundo-movel-57500005-tramontina-tramontina-eletrik/p/hggjb81446/cj/cxpe/</x:v>
      </x:c>
      <x:c r="I31" s="26" t="str">
        <x:v>Tramontina 57500/005</x:v>
      </x:c>
      <x:c r="J31" s="20" t="n">
        <x:f>'Térreo'!G19</x:f>
        <x:v>20.4</x:v>
      </x:c>
      <x:c r="K31" s="20" t="n">
        <x:f>'1º andar'!G19</x:f>
        <x:v>10.2</x:v>
      </x:c>
      <x:c r="L31" s="20" t="n">
        <x:f>'2º andar'!G17</x:f>
        <x:v>10.2</x:v>
      </x:c>
      <x:c r="M31" s="20" t="n">
        <x:f>'3º andar'!G17</x:f>
        <x:v>10.200000000000003</x:v>
      </x:c>
      <x:c r="N31" s="26" t="str">
        <x:v>Magazine Luiza</x:v>
      </x:c>
      <x:c r="O31" s="26" t="str">
        <x:v>29/09 a 01/10/2026</x:v>
      </x:c>
    </x:row>
    <x:row r="32" ht="65" customHeight="1">
      <x:c r="A32" s="8" t="str">
        <x:v>Terminações</x:v>
      </x:c>
      <x:c r="B32" s="27" t="str">
        <x:v>Patch cord X-cell Cat6 UTP 2 m</x:v>
      </x:c>
      <x:c r="C32" s="21" t="n">
        <x:v>80</x:v>
      </x:c>
      <x:c r="D32" s="8" t="str">
        <x:v>un</x:v>
      </x:c>
      <x:c r="E32" s="16" t="n">
        <x:v>14.9</x:v>
      </x:c>
      <x:c r="F32" s="16" t="n">
        <x:f>ROUND(C32*E32,2)</x:f>
        <x:v>1192</x:v>
      </x:c>
      <x:c r="G32" s="27" t="str">
        <x:v>36 no rack + 36 nas pontas + 2 servidores + 4 interswitch + 1 gateway + 1 reserva</x:v>
      </x:c>
      <x:c r="H32" s="27" t="str">
        <x:v>https://www.kabum.com.br/produto/409945/cabo-de-rede-cat-6-2-metros-2m-patch-cord-rj45-lan-internet</x:v>
      </x:c>
      <x:c r="I32" s="26" t="str">
        <x:v>X-cell Cat6 UTP 2 m (SKU não informado)</x:v>
      </x:c>
      <x:c r="J32" s="20" t="n">
        <x:f>'Térreo'!G20</x:f>
        <x:v>119.2</x:v>
      </x:c>
      <x:c r="K32" s="20" t="n">
        <x:f>'1º andar'!G20</x:f>
        <x:v>268.2</x:v>
      </x:c>
      <x:c r="L32" s="20" t="n">
        <x:f>'2º andar'!G18</x:f>
        <x:v>461.9</x:v>
      </x:c>
      <x:c r="M32" s="20" t="n">
        <x:f>'3º andar'!G18</x:f>
        <x:v>342.70000000000005</x:v>
      </x:c>
      <x:c r="N32" s="26" t="str">
        <x:v>KaBuM!</x:v>
      </x:c>
      <x:c r="O32" s="26" t="str">
        <x:v>29/09 a 01/10/2026</x:v>
      </x:c>
    </x:row>
    <x:row r="33" ht="65" customHeight="1">
      <x:c r="A33" s="8" t="str">
        <x:v>Terminações</x:v>
      </x:c>
      <x:c r="B33" s="27" t="str">
        <x:v>PDU Max Eletron 19", 8 tomadas 10 A</x:v>
      </x:c>
      <x:c r="C33" s="21" t="n">
        <x:v>4</x:v>
      </x:c>
      <x:c r="D33" s="8" t="str">
        <x:v>un</x:v>
      </x:c>
      <x:c r="E33" s="16" t="n">
        <x:v>94.9</x:v>
      </x:c>
      <x:c r="F33" s="16" t="n">
        <x:f>ROUND(C33*E33,2)</x:f>
        <x:v>379.6</x:v>
      </x:c>
      <x:c r="G33" s="27" t="str">
        <x:v>1 PDU por rack, alimentada por nobreak dimensionado</x:v>
      </x:c>
      <x:c r="H33" s="27" t="str">
        <x:v>https://www.kabum.com.br/produto/577263/calha-regua-p-rack-c-8-tomadas-10a-19-preto-max-eletron</x:v>
      </x:c>
      <x:c r="I33" s="26" t="str">
        <x:v>Max Eletron 19" / 8 tomadas 10 A (SKU não informado)</x:v>
      </x:c>
      <x:c r="J33" s="20" t="n">
        <x:f>'Térreo'!G21</x:f>
        <x:v>94.9</x:v>
      </x:c>
      <x:c r="K33" s="20" t="n">
        <x:f>'1º andar'!G21</x:f>
        <x:v>94.9</x:v>
      </x:c>
      <x:c r="L33" s="20" t="n">
        <x:f>'2º andar'!G19</x:f>
        <x:v>94.9</x:v>
      </x:c>
      <x:c r="M33" s="20" t="n">
        <x:f>'3º andar'!G19</x:f>
        <x:v>94.89999999999998</x:v>
      </x:c>
      <x:c r="N33" s="26" t="str">
        <x:v>KaBuM!</x:v>
      </x:c>
      <x:c r="O33" s="26" t="str">
        <x:v>29/09 a 01/10/2026</x:v>
      </x:c>
    </x:row>
    <x:row r="34" ht="65" customHeight="1">
      <x:c r="A34" s="8" t="str">
        <x:v>Terminações</x:v>
      </x:c>
      <x:c r="B34" s="27" t="str">
        <x:v>Mini DIO 6FO monomodo LC/UPC com pigtails</x:v>
      </x:c>
      <x:c r="C34" s="21" t="n">
        <x:v>4</x:v>
      </x:c>
      <x:c r="D34" s="8" t="str">
        <x:v>un</x:v>
      </x:c>
      <x:c r="E34" s="16" t="n">
        <x:v>351.12</x:v>
      </x:c>
      <x:c r="F34" s="16" t="n">
        <x:f>ROUND(C34*E34,2)</x:f>
        <x:v>1404.48</x:v>
      </x:c>
      <x:c r="G34" s="27" t="str">
        <x:v>1 por rack; 2 fibras por enlace; 4 fibras ativas nos andares 1 e 2</x:v>
      </x:c>
      <x:c r="H34" s="27" t="str">
        <x:v>https://www.aztech.com.br/mini-dio-6fo-de-aco-com-conectores-pigtail-e-acopladores-lcupc-monomodo</x:v>
      </x:c>
      <x:c r="I34" s="26" t="str">
        <x:v>Mini-DIO-6FO LC/UPC (referência do fornecedor)</x:v>
      </x:c>
      <x:c r="J34" s="20" t="n">
        <x:f>'Térreo'!G22</x:f>
        <x:v>351.12</x:v>
      </x:c>
      <x:c r="K34" s="20" t="n">
        <x:f>'1º andar'!G22</x:f>
        <x:v>351.12</x:v>
      </x:c>
      <x:c r="L34" s="20" t="n">
        <x:f>'2º andar'!G20</x:f>
        <x:v>351.12</x:v>
      </x:c>
      <x:c r="M34" s="20" t="n">
        <x:f>'3º andar'!G20</x:f>
        <x:v>351.1199999999999</x:v>
      </x:c>
      <x:c r="N34" s="26" t="str">
        <x:v>Aztech</x:v>
      </x:c>
      <x:c r="O34" s="26" t="str">
        <x:v>29/09 a 01/10/2026</x:v>
      </x:c>
    </x:row>
    <x:row r="35" ht="65" customHeight="1">
      <x:c r="A35" s="8" t="str">
        <x:v>Terminações</x:v>
      </x:c>
      <x:c r="B35" s="27" t="str">
        <x:v>Módulo SFP TP-Link TL-SM311LS monomodo LC</x:v>
      </x:c>
      <x:c r="C35" s="21" t="n">
        <x:v>6</x:v>
      </x:c>
      <x:c r="D35" s="8" t="str">
        <x:v>un</x:v>
      </x:c>
      <x:c r="E35" s="16" t="n">
        <x:v>103.55</x:v>
      </x:c>
      <x:c r="F35" s="16" t="n">
        <x:f>ROUND(C35*E35,2)</x:f>
        <x:v>621.3</x:v>
      </x:c>
      <x:c r="G35" s="27" t="str">
        <x:v>3 enlaces ópticos adjacentes × 2 pontas; confirmar compatibilidade por revisão</x:v>
      </x:c>
      <x:c r="H35" s="27" t="str">
        <x:v>https://www.centralcabos.com.br/modulo-sfp-1-25g-duplex-lc-monomodo-1000base-lx-1310nm-20km---tp-lin---tl-sm311ls/p</x:v>
      </x:c>
      <x:c r="I35" s="26" t="str">
        <x:v>TP-Link TL-SM311LS</x:v>
      </x:c>
      <x:c r="J35" s="20" t="n">
        <x:f>'Térreo'!G23</x:f>
        <x:v>103.55</x:v>
      </x:c>
      <x:c r="K35" s="20" t="n">
        <x:f>'1º andar'!G23</x:f>
        <x:v>207.1</x:v>
      </x:c>
      <x:c r="L35" s="20" t="n">
        <x:f>'2º andar'!G21</x:f>
        <x:v>207.1</x:v>
      </x:c>
      <x:c r="M35" s="20" t="n">
        <x:f>'3º andar'!G21</x:f>
        <x:v>103.54999999999995</x:v>
      </x:c>
      <x:c r="N35" s="26" t="str">
        <x:v>Central Cabos</x:v>
      </x:c>
      <x:c r="O35" s="26" t="str">
        <x:v>29/09 a 01/10/2026</x:v>
      </x:c>
    </x:row>
    <x:row r="36" ht="65" customHeight="1">
      <x:c r="A36" s="8" t="str">
        <x:v>Terminações</x:v>
      </x:c>
      <x:c r="B36" s="27" t="str">
        <x:v>Cordão óptico duplex monomodo LC/UPC 2 m</x:v>
      </x:c>
      <x:c r="C36" s="21" t="n">
        <x:v>6</x:v>
      </x:c>
      <x:c r="D36" s="8" t="str">
        <x:v>un</x:v>
      </x:c>
      <x:c r="E36" s="16" t="n">
        <x:v>73.11</x:v>
      </x:c>
      <x:c r="F36" s="16" t="n">
        <x:f>ROUND(C36*E36,2)</x:f>
        <x:v>438.66</x:v>
      </x:c>
      <x:c r="G36" s="27" t="str">
        <x:v>1 DIO–SFP por transceptor; LC/Uterminal nas duas pontas</x:v>
      </x:c>
      <x:c r="H36" s="27" t="str">
        <x:v>https://loja1.instrufiber.com.br/cordao-ptico-duplex-sm-9-125-lc-pc-lc-pc-2?tag=cord%C3%A3o+monomodo+ST</x:v>
      </x:c>
      <x:c r="I36" s="26" t="str">
        <x:v>SM 9/125 LC/UPC-LC/UPC 2 m (SKU não informado)</x:v>
      </x:c>
      <x:c r="J36" s="20" t="n">
        <x:f>'Térreo'!G24</x:f>
        <x:v>73.11</x:v>
      </x:c>
      <x:c r="K36" s="20" t="n">
        <x:f>'1º andar'!G24</x:f>
        <x:v>146.22</x:v>
      </x:c>
      <x:c r="L36" s="20" t="n">
        <x:f>'2º andar'!G22</x:f>
        <x:v>146.22</x:v>
      </x:c>
      <x:c r="M36" s="20" t="n">
        <x:f>'3º andar'!G22</x:f>
        <x:v>73.11000000000007</x:v>
      </x:c>
      <x:c r="N36" s="26" t="str">
        <x:v>Instrufiber</x:v>
      </x:c>
      <x:c r="O36" s="26" t="str">
        <x:v>29/09 a 01/10/2026</x:v>
      </x:c>
    </x:row>
    <x:row r="37" ht="65" customHeight="1">
      <x:c r="A37" s="8" t="str">
        <x:v>Terminações</x:v>
      </x:c>
      <x:c r="B37" s="27" t="str">
        <x:v>Guia horizontal Caesa 1U x 55 mm</x:v>
      </x:c>
      <x:c r="C37" s="21" t="n">
        <x:v>4</x:v>
      </x:c>
      <x:c r="D37" s="8" t="str">
        <x:v>un</x:v>
      </x:c>
      <x:c r="E37" s="16" t="n">
        <x:v>36</x:v>
      </x:c>
      <x:c r="F37" s="16" t="n">
        <x:f>ROUND(C37*E37,2)</x:f>
        <x:v>144</x:v>
      </x:c>
      <x:c r="G37" s="27" t="str">
        <x:v>1 por rack entre patch panel e switches; separar cobre/óptico</x:v>
      </x:c>
      <x:c r="H37" s="27" t="str">
        <x:v>https://www.kabum.com.br/produto/533002/guia-de-cabo-caesa-1ux55mm-preto</x:v>
      </x:c>
      <x:c r="I37" s="26" t="str">
        <x:v>Caesa 1U x 55 mm (SKU não informado)</x:v>
      </x:c>
      <x:c r="J37" s="20" t="n">
        <x:f>'Térreo'!G25</x:f>
        <x:v>36</x:v>
      </x:c>
      <x:c r="K37" s="20" t="n">
        <x:f>'1º andar'!G25</x:f>
        <x:v>36</x:v>
      </x:c>
      <x:c r="L37" s="20" t="n">
        <x:f>'2º andar'!G23</x:f>
        <x:v>36</x:v>
      </x:c>
      <x:c r="M37" s="20" t="n">
        <x:f>'3º andar'!G23</x:f>
        <x:v>36</x:v>
      </x:c>
      <x:c r="N37" s="26" t="str">
        <x:v>KaBuM!</x:v>
      </x:c>
      <x:c r="O37" s="26" t="str">
        <x:v>29/09 a 01/10/2026</x:v>
      </x:c>
    </x:row>
    <x:row r="38" ht="65" customHeight="1">
      <x:c r="A38" s="8" t="str">
        <x:v>Montagem</x:v>
      </x:c>
      <x:c r="B38" s="27" t="str">
        <x:v>Canaleta fechada PVC com tampa 50 x 50 mm, barra 2 m</x:v>
      </x:c>
      <x:c r="C38" s="21" t="n">
        <x:v>48</x:v>
      </x:c>
      <x:c r="D38" s="8" t="str">
        <x:v>barra</x:v>
      </x:c>
      <x:c r="E38" s="16" t="n">
        <x:v>82.82</x:v>
      </x:c>
      <x:c r="F38" s="16" t="n">
        <x:f>ROUND(C38*E38,2)</x:f>
        <x:v>3975.36</x:v>
      </x:c>
      <x:c r="G38" s="27" t="str">
        <x:v>Estimativa: 16 / 24 / 28 / 28 m de caminhos compartilhados. Seção e quantidade a validar na vistoria.</x:v>
      </x:c>
      <x:c r="H38" s="27" t="str">
        <x:v>https://eletriza.com.br/materiais-eletricos/canaletas</x:v>
      </x:c>
      <x:c r="I38" s="26" t="str">
        <x:v>Enerbras 5050-E</x:v>
      </x:c>
      <x:c r="J38" s="20" t="n">
        <x:f>'Térreo'!G26</x:f>
        <x:v>662.56</x:v>
      </x:c>
      <x:c r="K38" s="20" t="n">
        <x:f>'1º andar'!G26</x:f>
        <x:v>993.84</x:v>
      </x:c>
      <x:c r="L38" s="20" t="n">
        <x:f>'2º andar'!G24</x:f>
        <x:v>1159.48</x:v>
      </x:c>
      <x:c r="M38" s="20" t="n">
        <x:f>'3º andar'!G24</x:f>
        <x:v>1159.48</x:v>
      </x:c>
      <x:c r="N38" s="26" t="str">
        <x:v>Eletriza</x:v>
      </x:c>
      <x:c r="O38" s="26" t="str">
        <x:v>07/10/2026</x:v>
      </x:c>
    </x:row>
    <x:row r="39" ht="65" customHeight="1">
      <x:c r="A39" s="8" t="str">
        <x:v>Montagem</x:v>
      </x:c>
      <x:c r="B39" s="27" t="str">
        <x:v>Eletroduto rígido soldável PVC 32 mm, barra 3 m</x:v>
      </x:c>
      <x:c r="C39" s="21" t="n">
        <x:v>8</x:v>
      </x:c>
      <x:c r="D39" s="8" t="str">
        <x:v>barra</x:v>
      </x:c>
      <x:c r="E39" s="16" t="n">
        <x:v>27</x:v>
      </x:c>
      <x:c r="F39" s="16" t="n">
        <x:f>ROUND(C39*E39,2)</x:f>
        <x:v>216</x:v>
      </x:c>
      <x:c r="G39" s="27" t="str">
        <x:v>Estimativa: 24 m para shaft e transições; 6 m por piso como rateio financeiro. Não compartilhar com energia.</x:v>
      </x:c>
      <x:c r="H39" s="27" t="str">
        <x:v>https://loja.roquebr.com/eletroduto-rigido-sold-32mm-3m---tigre/p</x:v>
      </x:c>
      <x:c r="I39" s="26" t="str">
        <x:v>Tigre 32 mm / loja ref. 92495</x:v>
      </x:c>
      <x:c r="J39" s="20" t="n">
        <x:f>'Térreo'!G27</x:f>
        <x:v>54</x:v>
      </x:c>
      <x:c r="K39" s="20" t="n">
        <x:f>'1º andar'!G27</x:f>
        <x:v>54</x:v>
      </x:c>
      <x:c r="L39" s="20" t="n">
        <x:f>'2º andar'!G25</x:f>
        <x:v>54</x:v>
      </x:c>
      <x:c r="M39" s="20" t="n">
        <x:f>'3º andar'!G25</x:f>
        <x:v>54</x:v>
      </x:c>
      <x:c r="N39" s="26" t="str">
        <x:v>Roque</x:v>
      </x:c>
      <x:c r="O39" s="26" t="str">
        <x:v>07/10/2026</x:v>
      </x:c>
    </x:row>
    <x:row r="40" ht="65" customHeight="1">
      <x:c r="A40" s="8" t="str">
        <x:v>Montagem</x:v>
      </x:c>
      <x:c r="B40" s="27" t="str">
        <x:v>Bandeja fixa rack 19 polegadas, 1U x 250 mm</x:v>
      </x:c>
      <x:c r="C40" s="21" t="n">
        <x:v>4</x:v>
      </x:c>
      <x:c r="D40" s="8" t="str">
        <x:v>un</x:v>
      </x:c>
      <x:c r="E40" s="16" t="n">
        <x:v>60.16</x:v>
      </x:c>
      <x:c r="F40" s="16" t="n">
        <x:f>ROUND(C40*E40,2)</x:f>
        <x:v>240.64</x:v>
      </x:c>
      <x:c r="G40" s="27" t="str">
        <x:v>Uma por rack para dispositivos compactos; carga, profundidade e fixação a conferir. Loja informa prazo de fabricação.</x:v>
      </x:c>
      <x:c r="H40" s="27" t="str">
        <x:v>https://loja.nilko.com.br/informatica/acessorios/bandeja-fixa-para-rack-19-x-1u-250mm</x:v>
      </x:c>
      <x:c r="I40" s="26" t="str">
        <x:v>Nilko NK030160-C250</x:v>
      </x:c>
      <x:c r="J40" s="20" t="n">
        <x:f>'Térreo'!G28</x:f>
        <x:v>60.16</x:v>
      </x:c>
      <x:c r="K40" s="20" t="n">
        <x:f>'1º andar'!G28</x:f>
        <x:v>60.16</x:v>
      </x:c>
      <x:c r="L40" s="20" t="n">
        <x:f>'2º andar'!G26</x:f>
        <x:v>60.16</x:v>
      </x:c>
      <x:c r="M40" s="20" t="n">
        <x:f>'3º andar'!G26</x:f>
        <x:v>60.16</x:v>
      </x:c>
      <x:c r="N40" s="26" t="str">
        <x:v>Nilko</x:v>
      </x:c>
      <x:c r="O40" s="26" t="str">
        <x:v>07/10/2026</x:v>
      </x:c>
    </x:row>
    <x:row r="41" ht="65" customHeight="1">
      <x:c r="A41" s="8" t="str">
        <x:v>Montagem</x:v>
      </x:c>
      <x:c r="B41" s="27" t="str">
        <x:v>Conjunto porca gaiola e parafuso para rack 19 polegadas</x:v>
      </x:c>
      <x:c r="C41" s="21" t="n">
        <x:v>96</x:v>
      </x:c>
      <x:c r="D41" s="8" t="str">
        <x:v>conj.</x:v>
      </x:c>
      <x:c r="E41" s="16" t="n">
        <x:v>0.86</x:v>
      </x:c>
      <x:c r="F41" s="16" t="n">
        <x:f>ROUND(C41*E41,2)</x:f>
        <x:v>82.56</x:v>
      </x:c>
      <x:c r="G41" s="27" t="str">
        <x:v>24 conjuntos por rack, incluindo reserva; rosca compatível com trilhos e acessórios a confirmar.</x:v>
      </x:c>
      <x:c r="H41" s="27" t="str">
        <x:v>https://www.centralcabos.com.br/kit-porca-gaiola-com-parafuso/p</x:v>
      </x:c>
      <x:c r="I41" s="26" t="str">
        <x:v>Central Cabos ref. 5528</x:v>
      </x:c>
      <x:c r="J41" s="20" t="n">
        <x:f>'Térreo'!G29</x:f>
        <x:v>20.64</x:v>
      </x:c>
      <x:c r="K41" s="20" t="n">
        <x:f>'1º andar'!G29</x:f>
        <x:v>20.64</x:v>
      </x:c>
      <x:c r="L41" s="20" t="n">
        <x:f>'2º andar'!G27</x:f>
        <x:v>20.64</x:v>
      </x:c>
      <x:c r="M41" s="20" t="n">
        <x:f>'3º andar'!G27</x:f>
        <x:v>20.64</x:v>
      </x:c>
      <x:c r="N41" s="26" t="str">
        <x:v>Central Cabos</x:v>
      </x:c>
      <x:c r="O41" s="26" t="str">
        <x:v>07/10/2026</x:v>
      </x:c>
    </x:row>
    <x:row r="42" ht="65" customHeight="1">
      <x:c r="A42" s="8" t="str">
        <x:v>Montagem</x:v>
      </x:c>
      <x:c r="B42" s="27" t="str">
        <x:v>Fita de velcro reutilizável, rolo 5 m</x:v>
      </x:c>
      <x:c r="C42" s="21" t="n">
        <x:v>4</x:v>
      </x:c>
      <x:c r="D42" s="8" t="str">
        <x:v>rolo</x:v>
      </x:c>
      <x:c r="E42" s="16" t="n">
        <x:v>24.99</x:v>
      </x:c>
      <x:c r="F42" s="16" t="n">
        <x:f>ROUND(C42*E42,2)</x:f>
        <x:v>99.96</x:v>
      </x:c>
      <x:c r="G42" s="27" t="str">
        <x:v>Um rolo por piso; feixes sem compressão dos cabos. Preço de referência: anúncio indica esgotado, recotar equivalente.</x:v>
      </x:c>
      <x:c r="H42" s="27" t="str">
        <x:v>https://www.costabravahome.com.br/produtos/fita-velcro-organizadora-de-cabos-5m-p-usb-carregador-e-fios-em-geral/</x:v>
      </x:c>
      <x:c r="I42" s="26" t="str">
        <x:v>Costa Brava IDORGCABOSVELCROPRETO</x:v>
      </x:c>
      <x:c r="J42" s="20" t="n">
        <x:f>'Térreo'!G30</x:f>
        <x:v>24.99</x:v>
      </x:c>
      <x:c r="K42" s="20" t="n">
        <x:f>'1º andar'!G30</x:f>
        <x:v>24.99</x:v>
      </x:c>
      <x:c r="L42" s="20" t="n">
        <x:f>'2º andar'!G28</x:f>
        <x:v>24.99</x:v>
      </x:c>
      <x:c r="M42" s="20" t="n">
        <x:f>'3º andar'!G28</x:f>
        <x:v>24.989999999999995</x:v>
      </x:c>
      <x:c r="N42" s="26" t="str">
        <x:v>Costa Brava Home</x:v>
      </x:c>
      <x:c r="O42" s="26" t="str">
        <x:v>07/10/2026</x:v>
      </x:c>
    </x:row>
    <x:row r="43" ht="65" customHeight="1">
      <x:c r="A43" s="8" t="str">
        <x:v>Montagem</x:v>
      </x:c>
      <x:c r="B43" s="27" t="str">
        <x:v>Kit de buchas e parafusos, pacote 100 conjuntos</x:v>
      </x:c>
      <x:c r="C43" s="21" t="n">
        <x:v>4</x:v>
      </x:c>
      <x:c r="D43" s="8" t="str">
        <x:v>pac.</x:v>
      </x:c>
      <x:c r="E43" s="16" t="n">
        <x:v>40</x:v>
      </x:c>
      <x:c r="F43" s="16" t="n">
        <x:f>ROUND(C43*E43,2)</x:f>
        <x:v>160</x:v>
      </x:c>
      <x:c r="G43" s="27" t="str">
        <x:v>Um pacote por piso para fixações leves de canaletas/caixas; definir dimensão conforme parede. Não usar como ancoragem de rack.</x:v>
      </x:c>
      <x:c r="H43" s="27" t="str">
        <x:v>https://www.r2rioreveste.com.br/product-page/kit-parafuso-e-bucha-c-100</x:v>
      </x:c>
      <x:c r="I43" s="26" t="str">
        <x:v>Rio Reveste kit c/100 (dimensão a confirmar)</x:v>
      </x:c>
      <x:c r="J43" s="20" t="n">
        <x:f>'Térreo'!G31</x:f>
        <x:v>40</x:v>
      </x:c>
      <x:c r="K43" s="20" t="n">
        <x:f>'1º andar'!G31</x:f>
        <x:v>40</x:v>
      </x:c>
      <x:c r="L43" s="20" t="n">
        <x:f>'2º andar'!G29</x:f>
        <x:v>40</x:v>
      </x:c>
      <x:c r="M43" s="20" t="n">
        <x:f>'3º andar'!G29</x:f>
        <x:v>40</x:v>
      </x:c>
      <x:c r="N43" s="26" t="str">
        <x:v>Rio Reveste</x:v>
      </x:c>
      <x:c r="O43" s="26" t="str">
        <x:v>07/10/2026</x:v>
      </x:c>
    </x:row>
    <x:row r="44" ht="65" customHeight="1">
      <x:c r="A44" s="8" t="str">
        <x:v>Montagem</x:v>
      </x:c>
      <x:c r="B44" s="27" t="str">
        <x:v>Etiquetas adesivas de identificação, números 1 a 100</x:v>
      </x:c>
      <x:c r="C44" s="21" t="n">
        <x:v>2</x:v>
      </x:c>
      <x:c r="D44" s="8" t="str">
        <x:v>pac.</x:v>
      </x:c>
      <x:c r="E44" s="16" t="n">
        <x:v>42.75</x:v>
      </x:c>
      <x:c r="F44" s="16" t="n">
        <x:f>ROUND(C44*E44,2)</x:f>
        <x:v>85.5</x:v>
      </x:c>
      <x:c r="G44" s="27" t="str">
        <x:v>200 etiquetas: terminações, portas e reserva; rateio de 50 por piso. Acrescentar identificação do andar ao número.</x:v>
      </x:c>
      <x:c r="H44" s="27" t="str">
        <x:v>https://www.magazineluiza.com.br/adesivo-etiqueta-identificador-fios-e-cabos-numerado-1-a-100-micro-oficina/p/ed3a2a8gg3/pa/etpi/</x:v>
      </x:c>
      <x:c r="I44" s="26" t="str">
        <x:v>Micro Oficina vinil / 1 a 100</x:v>
      </x:c>
      <x:c r="J44" s="20" t="n">
        <x:f>'Térreo'!G32</x:f>
        <x:v>21.38</x:v>
      </x:c>
      <x:c r="K44" s="20" t="n">
        <x:f>'1º andar'!G32</x:f>
        <x:v>21.38</x:v>
      </x:c>
      <x:c r="L44" s="20" t="n">
        <x:f>'2º andar'!G30</x:f>
        <x:v>21.38</x:v>
      </x:c>
      <x:c r="M44" s="20" t="n">
        <x:f>'3º andar'!G30</x:f>
        <x:v>21.36</x:v>
      </x:c>
      <x:c r="N44" s="26" t="str">
        <x:v>Magazine Luiza</x:v>
      </x:c>
      <x:c r="O44" s="26" t="str">
        <x:v>07/10/2026</x:v>
      </x:c>
    </x:row>
    <x:row r="45" ht="65" customHeight="1">
      <x:c r="A45" s="8" t="str">
        <x:v>Montagem</x:v>
      </x:c>
      <x:c r="B45" s="27" t="str">
        <x:v>Provisão: conexões, suportes de eletroduto e ancoragens dos racks</x:v>
      </x:c>
      <x:c r="C45" s="21" t="n">
        <x:v>4</x:v>
      </x:c>
      <x:c r="D45" s="8" t="str">
        <x:v>lote</x:v>
      </x:c>
      <x:c r="E45" s="16" t="n">
        <x:v>110</x:v>
      </x:c>
      <x:c r="F45" s="16" t="n">
        <x:f>ROUND(C45*E45,2)</x:f>
        <x:v>440</x:v>
      </x:c>
      <x:c r="G45" s="27" t="str">
        <x:v>Estimativa técnica por piso: R$ 60 para curvas/luvas/terminais/abraçadeiras e R$ 50 para ancoragens. Não é cotação de loja.</x:v>
      </x:c>
      <x:c r="H45" s="27" t="str"/>
      <x:c r="I45" s="26" t="str">
        <x:v>Lote técnico por piso; especificação após vistoria</x:v>
      </x:c>
      <x:c r="J45" s="20" t="n">
        <x:f>'Térreo'!G33</x:f>
        <x:v>110</x:v>
      </x:c>
      <x:c r="K45" s="20" t="n">
        <x:f>'1º andar'!G33</x:f>
        <x:v>110</x:v>
      </x:c>
      <x:c r="L45" s="20" t="n">
        <x:f>'2º andar'!G31</x:f>
        <x:v>110</x:v>
      </x:c>
      <x:c r="M45" s="20" t="n">
        <x:f>'3º andar'!G31</x:f>
        <x:v>110</x:v>
      </x:c>
      <x:c r="N45" s="26" t="str">
        <x:v>A cotar</x:v>
      </x:c>
      <x:c r="O45" s="26" t="str">
        <x:v>07/10/2026</x:v>
      </x:c>
    </x:row>
    <x:row r="46">
      <x:c r="A46"/>
    </x:row>
    <x:row r="47">
      <x:c r="A47" t="str">
        <x:v>Premissas de montagem: 48 barras de canaleta (96 m), 8 eletrodutos (24 m); estimativas de caminhos compartilhados a validar em vistoria.</x:v>
      </x:c>
    </x:row>
    <x:row r="48">
      <x:c r="A48" t="str">
        <x:v>Provisão de R$ 110 por piso: conexões/suportes R$ 60 e ancoragens dos racks R$ 50. Loja a cotar; não corresponde a preço publicado.</x:v>
      </x:c>
    </x:row>
    <x:row r="49">
      <x:c r="A49" t="str">
        <x:v>Velcro: preço de referência de anúncio esgotado. Reconfirmar estoque/preços, impostos e frete; marketplaces identificam a plataforma consultada.</x:v>
      </x:c>
    </x:row>
    <x:row r="50">
      <x:c r="A50" t="str">
        <x:v>Cat6: 34 / 116 / 304 / 156 m; fibra: 25 m por piso como rateio financeiro; arredondamento residual no 3º andar.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8" hidden="0" customWidth="1"/>
    <x:col min="2" max="2" width="55" hidden="0" customWidth="1"/>
    <x:col min="3" max="3" width="47" hidden="0" customWidth="1"/>
    <x:col min="4" max="4" width="12" hidden="0" customWidth="1"/>
    <x:col min="5" max="5" width="12" hidden="0" customWidth="1"/>
    <x:col min="6" max="6" width="17" hidden="0" customWidth="1"/>
    <x:col min="7" max="7" width="17" hidden="0" customWidth="1"/>
    <x:col min="8" max="8" width="16" hidden="0" customWidth="1"/>
    <x:col min="9" max="9" width="50" hidden="0" customWidth="1"/>
    <x:col min="10" max="10" width="22" hidden="0" customWidth="1"/>
    <x:col min="11" max="11" width="60" hidden="0" customWidth="1"/>
  </x:cols>
  <x:sheetData>
    <x:row r="1">
      <x:c r="A1" s="31"/>
      <x:c r="B1" s="31"/>
      <x:c r="C1" s="31"/>
      <x:c r="D1" s="31"/>
      <x:c r="E1" s="31"/>
      <x:c r="F1" s="31"/>
      <x:c r="G1" s="31"/>
      <x:c r="H1" s="31"/>
      <x:c r="I1" s="31"/>
    </x:row>
    <x:row r="2">
      <x:c r="A2" s="31" t="str">
        <x:v>Orçamento de materiais | Térreo</x:v>
      </x:c>
      <x:c r="B2" s="31"/>
      <x:c r="C2" s="31"/>
      <x:c r="D2" s="31"/>
      <x:c r="E2" s="31"/>
      <x:c r="F2" s="31"/>
      <x:c r="G2" s="31"/>
      <x:c r="H2" s="31"/>
      <x:c r="I2" s="31"/>
    </x:row>
    <x:row r="3">
      <x:c r="A3" s="31" t="str">
        <x:v>1 pontos de terminais + 2 AP(s); computadores não incluídos</x:v>
      </x:c>
      <x:c r="B3" s="31"/>
      <x:c r="C3" s="31"/>
      <x:c r="D3" s="31"/>
      <x:c r="E3" s="31"/>
      <x:c r="F3" s="31"/>
      <x:c r="G3" s="31"/>
      <x:c r="H3" s="31"/>
      <x:c r="I3" s="31"/>
    </x:row>
    <x:row r="4">
      <x:c r="A4" s="37"/>
      <x:c r="B4" s="37"/>
      <x:c r="C4" s="37"/>
      <x:c r="D4" s="37"/>
      <x:c r="E4" s="37"/>
      <x:c r="F4" s="37" t="str">
        <x:v>TOTAL DO ANDAR</x:v>
      </x:c>
      <x:c r="G4" s="38" t="n">
        <x:f>SUM('Orçamento'!J14:J45)</x:f>
        <x:v>7878.48</x:v>
      </x:c>
      <x:c r="H4" s="37"/>
      <x:c r="I4" s="37"/>
    </x:row>
    <x:row r="5">
      <x:c r="A5" s="31"/>
      <x:c r="B5" s="31"/>
      <x:c r="C5" s="31"/>
      <x:c r="D5" s="31"/>
      <x:c r="E5" s="31"/>
      <x:c r="F5" s="31"/>
      <x:c r="G5" s="31"/>
      <x:c r="H5" s="31"/>
      <x:c r="I5" s="31"/>
    </x:row>
    <x:row r="6" ht="30" customHeight="1">
      <x:c r="A6" s="65" t="str">
        <x:v>ID</x:v>
      </x:c>
      <x:c r="B6" s="65" t="str">
        <x:v>Item / especificação</x:v>
      </x:c>
      <x:c r="C6" s="65" t="str">
        <x:v>Modelo / referência</x:v>
      </x:c>
      <x:c r="D6" s="65" t="str">
        <x:v>Qtd.</x:v>
      </x:c>
      <x:c r="E6" s="65" t="str">
        <x:v>Un.</x:v>
      </x:c>
      <x:c r="F6" s="65" t="str">
        <x:v>Preço unit. (R$)</x:v>
      </x:c>
      <x:c r="G6" s="65" t="str">
        <x:v>Subtotal (R$)</x:v>
      </x:c>
      <x:c r="H6" s="65" t="str">
        <x:v>Grupo</x:v>
      </x:c>
      <x:c r="I6" s="65" t="str">
        <x:v>Aplicação / premissa técnica</x:v>
      </x:c>
      <x:c r="J6" s="65" t="str">
        <x:v>Loja / fonte</x:v>
      </x:c>
      <x:c r="K6" s="65" t="str">
        <x:v>Fonte / URL</x:v>
      </x:c>
    </x:row>
    <x:row r="7" ht="65" customHeight="1">
      <x:c r="A7" s="32" t="n">
        <x:v>1</x:v>
      </x:c>
      <x:c r="B7" s="32" t="str">
        <x:v>Rack de parede 19" 12U Intelbras MRD 1257</x:v>
      </x:c>
      <x:c r="C7" s="32" t="str">
        <x:v>Intelbras MRD 1257</x:v>
      </x:c>
      <x:c r="D7" s="32" t="n">
        <x:v>1</x:v>
      </x:c>
      <x:c r="E7" s="32" t="str">
        <x:v>un</x:v>
      </x:c>
      <x:c r="F7" s="35" t="n">
        <x:f>'Orçamento'!E14/1</x:f>
        <x:v>1014.42</x:v>
      </x:c>
      <x:c r="G7" s="35" t="n">
        <x:f>ROUND(D7*F7,2)</x:f>
        <x:v>1014.42</x:v>
      </x:c>
      <x:c r="H7" s="32" t="str">
        <x:v>Equipamentos</x:v>
      </x:c>
      <x:c r="I7" s="32" t="str">
        <x:v>RACK-T / RACK-CPD / RACK-2 / RACK-3; servidores em torre fora do rack</x:v>
      </x:c>
      <x:c r="J7" s="26" t="str">
        <x:f>'Orçamento'!N14</x:f>
        <x:v>KaBuM!</x:v>
      </x:c>
      <x:c r="K7" s="26" t="str">
        <x:f>'Orçamento'!H14</x:f>
        <x:v>https://www.kabum.com.br/produto/303757/mini-rack-desmontavel-de-parede-12u-19-x-570mm-intelbras-mrd-1257</x:v>
      </x:c>
    </x:row>
    <x:row r="8" ht="65" customHeight="1">
      <x:c r="A8" s="32" t="n">
        <x:v>2</x:v>
      </x:c>
      <x:c r="B8" s="32" t="str">
        <x:v>Switch acesso térreo TP-Link TL-SG108E, 8xGbE Easy Smart</x:v>
      </x:c>
      <x:c r="C8" s="32" t="str">
        <x:v>TP-Link TL-SG108E</x:v>
      </x:c>
      <x:c r="D8" s="32" t="n">
        <x:v>1</x:v>
      </x:c>
      <x:c r="E8" s="32" t="str">
        <x:v>un</x:v>
      </x:c>
      <x:c r="F8" s="35" t="n">
        <x:f>'Orçamento'!E15/1</x:f>
        <x:v>332.38</x:v>
      </x:c>
      <x:c r="G8" s="35" t="n">
        <x:f>ROUND(D8*F8,2)</x:f>
        <x:v>332.38</x:v>
      </x:c>
      <x:c r="H8" s="32" t="str">
        <x:v>Equipamentos</x:v>
      </x:c>
      <x:c r="I8" s="32" t="str">
        <x:v>SW-T-01: 1 terminal + uplink; 6 portas livres; VLAN 802.1Q, sem PoE/SFP</x:v>
      </x:c>
      <x:c r="J8" s="26" t="str">
        <x:f>'Orçamento'!N15</x:f>
        <x:v>KaBuM!</x:v>
      </x:c>
      <x:c r="K8" s="26" t="str">
        <x:f>'Orçamento'!H15</x:f>
        <x:v>https://www.kabum.com.br/produto/1049615/switch-tp-link-tl-sg108e-8-portas-10-100-1000-unmanaged-gigabit-ethernet-metal-montagem-em-rack-ideal-rede-profissional</x:v>
      </x:c>
    </x:row>
    <x:row r="9" ht="65" customHeight="1">
      <x:c r="A9" s="32" t="n">
        <x:v>5</x:v>
      </x:c>
      <x:c r="B9" s="32" t="str">
        <x:v>Switch distribuição/PoE TP-Link TL-SG2210MP, 8xPoE+ + 2 SFP, 150 W</x:v>
      </x:c>
      <x:c r="C9" s="32" t="str">
        <x:v>TP-Link TL-SG2210MP</x:v>
      </x:c>
      <x:c r="D9" s="32" t="n">
        <x:v>1</x:v>
      </x:c>
      <x:c r="E9" s="32" t="str">
        <x:v>un</x:v>
      </x:c>
      <x:c r="F9" s="35" t="n">
        <x:f>'Orçamento'!E18/1</x:f>
        <x:v>1044</x:v>
      </x:c>
      <x:c r="G9" s="35" t="n">
        <x:f>ROUND(D9*F9,2)</x:f>
        <x:v>1044</x:v>
      </x:c>
      <x:c r="H9" s="32" t="str">
        <x:v>Equipamentos</x:v>
      </x:c>
      <x:c r="I9" s="32" t="str">
        <x:v>SW-BB-T/1/2/3: backbone, uplink local e 5 APs; 2 SFP nos andares intermediários</x:v>
      </x:c>
      <x:c r="J9" s="26" t="str">
        <x:f>'Orçamento'!N18</x:f>
        <x:v>Magazine Luiza</x:v>
      </x:c>
      <x:c r="K9" s="26" t="str">
        <x:f>'Orçamento'!H18</x:f>
        <x:v>https://www.magazineluiza.com.br/switch-gigabit-tp-link-8-portas-2-sfp-sg2210mp-poe-150w/p/efbdb23fa4/in/swit/</x:v>
      </x:c>
    </x:row>
    <x:row r="10" ht="65" customHeight="1">
      <x:c r="A10" s="32" t="n">
        <x:v>6</x:v>
      </x:c>
      <x:c r="B10" s="32" t="str">
        <x:v>Roteador/gateway TP-Link ER605 — exigir revisão V2</x:v>
      </x:c>
      <x:c r="C10" s="32" t="str">
        <x:v>TP-Link ER605 V2</x:v>
      </x:c>
      <x:c r="D10" s="32" t="n">
        <x:v>1</x:v>
      </x:c>
      <x:c r="E10" s="32" t="str">
        <x:v>un</x:v>
      </x:c>
      <x:c r="F10" s="35" t="n">
        <x:f>'Orçamento'!E19/1</x:f>
        <x:v>459.99</x:v>
      </x:c>
      <x:c r="G10" s="35" t="n">
        <x:f>ROUND(D10*F10,2)</x:f>
        <x:v>459.99</x:v>
      </x:c>
      <x:c r="H10" s="32" t="str">
        <x:v>Equipamentos</x:v>
      </x:c>
      <x:c r="I10" s="32" t="str">
        <x:v>FW-01: gateway ER605 V2, NAT, VLAN e ACL; portas Gigabit; Wi-Fi nos APs</x:v>
      </x:c>
      <x:c r="J10" s="26" t="str">
        <x:f>'Orçamento'!N19</x:f>
        <x:v>Pichau</x:v>
      </x:c>
      <x:c r="K10" s="26" t="str">
        <x:f>'Orçamento'!H19</x:f>
        <x:v>https://www.pichau.com.br/roteador-tp-link-omada-vpn-multi-wan-gigabit-er605</x:v>
      </x:c>
    </x:row>
    <x:row r="11" ht="65" customHeight="1">
      <x:c r="A11" s="32" t="n">
        <x:v>7</x:v>
      </x:c>
      <x:c r="B11" s="32" t="str">
        <x:v>AP corporativo TP-Link EAP610 Wi-Fi 6, 802.3at</x:v>
      </x:c>
      <x:c r="C11" s="32" t="str">
        <x:v>TP-Link EAP610</x:v>
      </x:c>
      <x:c r="D11" s="32" t="n">
        <x:v>1</x:v>
      </x:c>
      <x:c r="E11" s="32" t="str">
        <x:v>un</x:v>
      </x:c>
      <x:c r="F11" s="35" t="n">
        <x:f>'Orçamento'!E20/1</x:f>
        <x:v>849.9</x:v>
      </x:c>
      <x:c r="G11" s="35" t="n">
        <x:f>ROUND(D11*F11,2)</x:f>
        <x:v>849.9</x:v>
      </x:c>
      <x:c r="H11" s="32" t="str">
        <x:v>Equipamentos</x:v>
      </x:c>
      <x:c r="I11" s="32" t="str">
        <x:v>AP-CORP-T, AP-1-01, AP-2-01, AP-3-01; um por pavimento</x:v>
      </x:c>
      <x:c r="J11" s="26" t="str">
        <x:f>'Orçamento'!N20</x:f>
        <x:v>KaBuM!</x:v>
      </x:c>
      <x:c r="K11" s="26" t="str">
        <x:f>'Orçamento'!H20</x:f>
        <x:v>https://www.kabum.com.br/produto/388006/access-point-tp-link-eap610-ax1800-1775mbps-omada-wi-fi-6-montavel-em-teto</x:v>
      </x:c>
    </x:row>
    <x:row r="12" ht="65" customHeight="1">
      <x:c r="A12" s="32" t="n">
        <x:v>8</x:v>
      </x:c>
      <x:c r="B12" s="32" t="str">
        <x:v>AP visitantes TP-Link EAP610 Wi-Fi 6, 802.3at</x:v>
      </x:c>
      <x:c r="C12" s="32" t="str">
        <x:v>TP-Link EAP610</x:v>
      </x:c>
      <x:c r="D12" s="32" t="n">
        <x:v>1</x:v>
      </x:c>
      <x:c r="E12" s="32" t="str">
        <x:v>un</x:v>
      </x:c>
      <x:c r="F12" s="35" t="n">
        <x:f>'Orçamento'!E21/1</x:f>
        <x:v>849.9</x:v>
      </x:c>
      <x:c r="G12" s="35" t="n">
        <x:f>ROUND(D12*F12,2)</x:f>
        <x:v>849.9</x:v>
      </x:c>
      <x:c r="H12" s="32" t="str">
        <x:v>Equipamentos</x:v>
      </x:c>
      <x:c r="I12" s="32" t="str">
        <x:v>AP-VIS-01 na recepção; VLAN 30/SSID visitantes isolados</x:v>
      </x:c>
      <x:c r="J12" s="26" t="str">
        <x:f>'Orçamento'!N21</x:f>
        <x:v>KaBuM!</x:v>
      </x:c>
      <x:c r="K12" s="26" t="str">
        <x:f>'Orçamento'!H21</x:f>
        <x:v>https://www.kabum.com.br/produto/388006/access-point-tp-link-eap610-ax1800-1775mbps-omada-wi-fi-6-montavel-em-teto</x:v>
      </x:c>
    </x:row>
    <x:row r="13" ht="65" customHeight="1">
      <x:c r="A13" s="32" t="n">
        <x:v>11</x:v>
      </x:c>
      <x:c r="B13" s="32" t="str">
        <x:v>Nobreak Intelbras ATTIV 700 VA para rede de andar</x:v>
      </x:c>
      <x:c r="C13" s="32" t="str">
        <x:v>Intelbras ATTIV 700 VA / 220 V</x:v>
      </x:c>
      <x:c r="D13" s="32" t="n">
        <x:v>1</x:v>
      </x:c>
      <x:c r="E13" s="32" t="str">
        <x:v>un</x:v>
      </x:c>
      <x:c r="F13" s="35" t="n">
        <x:f>'Orçamento'!E24/1</x:f>
        <x:v>519.63</x:v>
      </x:c>
      <x:c r="G13" s="35" t="n">
        <x:f>ROUND(D13*F13,2)</x:f>
        <x:v>519.63</x:v>
      </x:c>
      <x:c r="H13" s="32" t="str">
        <x:v>Equipamentos</x:v>
      </x:c>
      <x:c r="I13" s="32" t="str">
        <x:v>Térreo, 2º e 3º: switches/roteador/APs; tensão e autonomia a validar</x:v>
      </x:c>
      <x:c r="J13" s="26" t="str">
        <x:f>'Orçamento'!N24</x:f>
        <x:v>Magazine Luiza</x:v>
      </x:c>
      <x:c r="K13" s="26" t="str">
        <x:f>'Orçamento'!H24</x:f>
        <x:v>https://www.magazineluiza.com.br/nobreak-attiv-700va-220v-intelbras/p/ebe051fccd/in/nbak/</x:v>
      </x:c>
    </x:row>
    <x:row r="14" ht="65" customHeight="1">
      <x:c r="A14" s="32" t="n">
        <x:v>13</x:v>
      </x:c>
      <x:c r="B14" s="32" t="str">
        <x:v>Cabo U/UTP Cat6 Furukawa SOHOPLUS, caixa 305 m</x:v>
      </x:c>
      <x:c r="C14" s="32" t="str">
        <x:v>Furukawa SOHOPLUS 23400199</x:v>
      </x:c>
      <x:c r="D14" s="32" t="n">
        <x:v>34</x:v>
      </x:c>
      <x:c r="E14" s="32" t="str">
        <x:v>m</x:v>
      </x:c>
      <x:c r="F14" s="66" t="n">
        <x:f>'Orçamento'!E26/305</x:f>
        <x:v>3.934098360655738</x:v>
      </x:c>
      <x:c r="G14" s="35" t="n">
        <x:f>ROUND(D14*F14,2)</x:f>
        <x:v>133.76</x:v>
      </x:c>
      <x:c r="H14" s="32" t="str">
        <x:v>Cabeamento</x:v>
      </x:c>
      <x:c r="I14" s="32" t="str">
        <x:v>36 enlaces; planta: mínimo ortogonal 395,4 m (escala 1u=1m), +20%=474,5 m; 610 m comprados</x:v>
      </x:c>
      <x:c r="J14" s="26" t="str">
        <x:f>'Orçamento'!N26</x:f>
        <x:v>KaBuM!</x:v>
      </x:c>
      <x:c r="K14" s="26" t="str">
        <x:f>'Orçamento'!H26</x:f>
        <x:v>https://www.kabum.com.br/produto/109964/cabo-de-rede-cat-6-furukawa-sohoplus-305-metros-branco-23400199</x:v>
      </x:c>
    </x:row>
    <x:row r="15" ht="65" customHeight="1">
      <x:c r="A15" s="32" t="n">
        <x:v>14</x:v>
      </x:c>
      <x:c r="B15" s="32" t="str">
        <x:v>Cabo óptico monomodo 6FO antichamas, rolo 50 m</x:v>
      </x:c>
      <x:c r="C15" s="32" t="str">
        <x:v>Monomodo 6FO antichamas / 50 m (SKU não informado)</x:v>
      </x:c>
      <x:c r="D15" s="32" t="n">
        <x:v>25</x:v>
      </x:c>
      <x:c r="E15" s="32" t="str">
        <x:v>m</x:v>
      </x:c>
      <x:c r="F15" s="66" t="n">
        <x:f>'Orçamento'!E27/50</x:f>
        <x:v>9.0928</x:v>
      </x:c>
      <x:c r="G15" s="35" t="n">
        <x:f>ROUND(D15*F15,2)</x:f>
        <x:v>227.32</x:v>
      </x:c>
      <x:c r="H15" s="32" t="str">
        <x:v>Cabeamento</x:v>
      </x:c>
      <x:c r="I15" s="32" t="str">
        <x:v>3 trechos rack–rack; PDF mede shaft 16,33 m; 100 m comprados para percurso lateral</x:v>
      </x:c>
      <x:c r="J15" s="26" t="str">
        <x:f>'Orçamento'!N27</x:f>
        <x:v>CTMD</x:v>
      </x:c>
      <x:c r="K15" s="26" t="str">
        <x:f>'Orçamento'!H27</x:f>
        <x:v>https://loja.ctmd.eng.br/fibra-optica/9836-cabo-fibra-optica-monomodo-6fo-antichamas-int-ext-p-calhas-50m-.html</x:v>
      </x:c>
    </x:row>
    <x:row r="16" ht="65" customHeight="1">
      <x:c r="A16" s="32" t="n">
        <x:v>15</x:v>
      </x:c>
      <x:c r="B16" s="32" t="str">
        <x:v>Patch panel Cat6 Furukawa 24 portas</x:v>
      </x:c>
      <x:c r="C16" s="32" t="str">
        <x:v>Furukawa SOHOPLUS 35050439</x:v>
      </x:c>
      <x:c r="D16" s="32" t="n">
        <x:v>1</x:v>
      </x:c>
      <x:c r="E16" s="32" t="str">
        <x:v>un</x:v>
      </x:c>
      <x:c r="F16" s="35" t="n">
        <x:f>'Orçamento'!E28/1</x:f>
        <x:v>579.9</x:v>
      </x:c>
      <x:c r="G16" s="35" t="n">
        <x:f>ROUND(D16*F16,2)</x:f>
        <x:v>579.9</x:v>
      </x:c>
      <x:c r="H16" s="32" t="str">
        <x:v>Terminações</x:v>
      </x:c>
      <x:c r="I16" s="32" t="str">
        <x:v>1 por rack: térreo 3, 1º 7, 2º 15, 3º 11 terminações de área</x:v>
      </x:c>
      <x:c r="J16" s="26" t="str">
        <x:f>'Orçamento'!N28</x:f>
        <x:v>KaBuM!</x:v>
      </x:c>
      <x:c r="K16" s="26" t="str">
        <x:f>'Orçamento'!H28</x:f>
        <x:v>https://www.kabum.com.br/produto/474007/patch-panel-furukawa-t568a-b-soho-plus-cat-6-24-portas-35050439</x:v>
      </x:c>
    </x:row>
    <x:row r="17" ht="65" customHeight="1">
      <x:c r="A17" s="32" t="n">
        <x:v>16</x:v>
      </x:c>
      <x:c r="B17" s="32" t="str">
        <x:v>Keystone fêmea RJ45 Cat6</x:v>
      </x:c>
      <x:c r="C17" s="32" t="str">
        <x:v>RJ45 fêmea UTP Cat6 (SKU não informado)</x:v>
      </x:c>
      <x:c r="D17" s="32" t="n">
        <x:v>3</x:v>
      </x:c>
      <x:c r="E17" s="32" t="str">
        <x:v>un</x:v>
      </x:c>
      <x:c r="F17" s="35" t="n">
        <x:f>'Orçamento'!E29/1</x:f>
        <x:v>23.35</x:v>
      </x:c>
      <x:c r="G17" s="35" t="n">
        <x:f>ROUND(D17*F17,2)</x:f>
        <x:v>70.05</x:v>
      </x:c>
      <x:c r="H17" s="32" t="str">
        <x:v>Terminações</x:v>
      </x:c>
      <x:c r="I17" s="32" t="str">
        <x:v>31 pontos de terminais + 5 APs; servidores ligados localmente por patch cord</x:v>
      </x:c>
      <x:c r="J17" s="26" t="str">
        <x:f>'Orçamento'!N29</x:f>
        <x:v>KaBuM!</x:v>
      </x:c>
      <x:c r="K17" s="26" t="str">
        <x:f>'Orçamento'!H29</x:f>
        <x:v>https://www.kabum.com.br/produto/449852/conector-rj45-femea-utp-branco-cat-6</x:v>
      </x:c>
    </x:row>
    <x:row r="18" ht="65" customHeight="1">
      <x:c r="A18" s="32" t="n">
        <x:v>17</x:v>
      </x:c>
      <x:c r="B18" s="32" t="str">
        <x:v>Caixa de sobrepor 2 saídas para ponto de mesa</x:v>
      </x:c>
      <x:c r="C18" s="32" t="str">
        <x:v>Central Cabos ref. 3402</x:v>
      </x:c>
      <x:c r="D18" s="32" t="n">
        <x:v>1</x:v>
      </x:c>
      <x:c r="E18" s="32" t="str">
        <x:v>un</x:v>
      </x:c>
      <x:c r="F18" s="35" t="n">
        <x:f>'Orçamento'!E30/1</x:f>
        <x:v>5.22</x:v>
      </x:c>
      <x:c r="G18" s="35" t="n">
        <x:f>ROUND(D18*F18,2)</x:f>
        <x:v>5.22</x:v>
      </x:c>
      <x:c r="H18" s="32" t="str">
        <x:v>Terminações</x:v>
      </x:c>
      <x:c r="I18" s="32" t="str">
        <x:v>1 em cada estação cabeada; 5 APs usam caixa de teto própria</x:v>
      </x:c>
      <x:c r="J18" s="26" t="str">
        <x:f>'Orçamento'!N30</x:f>
        <x:v>Central Cabos</x:v>
      </x:c>
      <x:c r="K18" s="26" t="str">
        <x:f>'Orçamento'!H30</x:f>
        <x:v>https://www.centralcabos.com.br/caixa-sobrepor-2-saidas---3402/p</x:v>
      </x:c>
    </x:row>
    <x:row r="19" ht="65" customHeight="1">
      <x:c r="A19" s="32" t="n">
        <x:v>18</x:v>
      </x:c>
      <x:c r="B19" s="32" t="str">
        <x:v>Caixa octogonal PVC 4x4 Tramontina 57500/005 para AP</x:v>
      </x:c>
      <x:c r="C19" s="32" t="str">
        <x:v>Tramontina 57500/005</x:v>
      </x:c>
      <x:c r="D19" s="32" t="n">
        <x:v>2</x:v>
      </x:c>
      <x:c r="E19" s="32" t="str">
        <x:v>un</x:v>
      </x:c>
      <x:c r="F19" s="35" t="n">
        <x:f>'Orçamento'!E31/1</x:f>
        <x:v>10.2</x:v>
      </x:c>
      <x:c r="G19" s="35" t="n">
        <x:f>ROUND(D19*F19,2)</x:f>
        <x:v>20.4</x:v>
      </x:c>
      <x:c r="H19" s="32" t="str">
        <x:v>Terminações</x:v>
      </x:c>
      <x:c r="I19" s="32" t="str">
        <x:v>1 por AP para acomodar terminação, sujeito ao tipo de forro</x:v>
      </x:c>
      <x:c r="J19" s="26" t="str">
        <x:f>'Orçamento'!N31</x:f>
        <x:v>Magazine Luiza</x:v>
      </x:c>
      <x:c r="K19" s="26" t="str">
        <x:f>'Orçamento'!H31</x:f>
        <x:v>https://www.magazineluiza.com.br/caixa-de-pvc-octogonal-4x4-amarela-c-fundo-movel-57500005-tramontina-tramontina-eletrik/p/hggjb81446/cj/cxpe/</x:v>
      </x:c>
    </x:row>
    <x:row r="20" ht="65" customHeight="1">
      <x:c r="A20" s="32" t="n">
        <x:v>19</x:v>
      </x:c>
      <x:c r="B20" s="32" t="str">
        <x:v>Patch cord X-cell Cat6 UTP 2 m</x:v>
      </x:c>
      <x:c r="C20" s="32" t="str">
        <x:v>X-cell Cat6 UTP 2 m (SKU não informado)</x:v>
      </x:c>
      <x:c r="D20" s="32" t="n">
        <x:v>8</x:v>
      </x:c>
      <x:c r="E20" s="32" t="str">
        <x:v>un</x:v>
      </x:c>
      <x:c r="F20" s="35" t="n">
        <x:f>'Orçamento'!E32/1</x:f>
        <x:v>14.9</x:v>
      </x:c>
      <x:c r="G20" s="35" t="n">
        <x:f>ROUND(D20*F20,2)</x:f>
        <x:v>119.2</x:v>
      </x:c>
      <x:c r="H20" s="32" t="str">
        <x:v>Terminações</x:v>
      </x:c>
      <x:c r="I20" s="32" t="str">
        <x:v>36 no rack + 36 nas pontas + 2 servidores + 4 interswitch + 1 gateway + 1 reserva</x:v>
      </x:c>
      <x:c r="J20" s="26" t="str">
        <x:f>'Orçamento'!N32</x:f>
        <x:v>KaBuM!</x:v>
      </x:c>
      <x:c r="K20" s="26" t="str">
        <x:f>'Orçamento'!H32</x:f>
        <x:v>https://www.kabum.com.br/produto/409945/cabo-de-rede-cat-6-2-metros-2m-patch-cord-rj45-lan-internet</x:v>
      </x:c>
    </x:row>
    <x:row r="21" ht="65" customHeight="1">
      <x:c r="A21" s="32" t="n">
        <x:v>20</x:v>
      </x:c>
      <x:c r="B21" s="32" t="str">
        <x:v>PDU Max Eletron 19", 8 tomadas 10 A</x:v>
      </x:c>
      <x:c r="C21" s="32" t="str">
        <x:v>Max Eletron 19" / 8 tomadas 10 A (SKU não informado)</x:v>
      </x:c>
      <x:c r="D21" s="32" t="n">
        <x:v>1</x:v>
      </x:c>
      <x:c r="E21" s="32" t="str">
        <x:v>un</x:v>
      </x:c>
      <x:c r="F21" s="35" t="n">
        <x:f>'Orçamento'!E33/1</x:f>
        <x:v>94.9</x:v>
      </x:c>
      <x:c r="G21" s="35" t="n">
        <x:f>ROUND(D21*F21,2)</x:f>
        <x:v>94.9</x:v>
      </x:c>
      <x:c r="H21" s="32" t="str">
        <x:v>Terminações</x:v>
      </x:c>
      <x:c r="I21" s="32" t="str">
        <x:v>1 PDU por rack, alimentada por nobreak dimensionado</x:v>
      </x:c>
      <x:c r="J21" s="26" t="str">
        <x:f>'Orçamento'!N33</x:f>
        <x:v>KaBuM!</x:v>
      </x:c>
      <x:c r="K21" s="26" t="str">
        <x:f>'Orçamento'!H33</x:f>
        <x:v>https://www.kabum.com.br/produto/577263/calha-regua-p-rack-c-8-tomadas-10a-19-preto-max-eletron</x:v>
      </x:c>
    </x:row>
    <x:row r="22" ht="65" customHeight="1">
      <x:c r="A22" s="32" t="n">
        <x:v>21</x:v>
      </x:c>
      <x:c r="B22" s="32" t="str">
        <x:v>Mini DIO 6FO monomodo LC/UPC com pigtails</x:v>
      </x:c>
      <x:c r="C22" s="32" t="str">
        <x:v>Mini-DIO-6FO LC/UPC (referência do fornecedor)</x:v>
      </x:c>
      <x:c r="D22" s="32" t="n">
        <x:v>1</x:v>
      </x:c>
      <x:c r="E22" s="32" t="str">
        <x:v>un</x:v>
      </x:c>
      <x:c r="F22" s="35" t="n">
        <x:f>'Orçamento'!E34/1</x:f>
        <x:v>351.12</x:v>
      </x:c>
      <x:c r="G22" s="35" t="n">
        <x:f>ROUND(D22*F22,2)</x:f>
        <x:v>351.12</x:v>
      </x:c>
      <x:c r="H22" s="32" t="str">
        <x:v>Terminações</x:v>
      </x:c>
      <x:c r="I22" s="32" t="str">
        <x:v>1 por rack; 2 fibras por enlace; 4 fibras ativas nos andares 1 e 2</x:v>
      </x:c>
      <x:c r="J22" s="26" t="str">
        <x:f>'Orçamento'!N34</x:f>
        <x:v>Aztech</x:v>
      </x:c>
      <x:c r="K22" s="26" t="str">
        <x:f>'Orçamento'!H34</x:f>
        <x:v>https://www.aztech.com.br/mini-dio-6fo-de-aco-com-conectores-pigtail-e-acopladores-lcupc-monomodo</x:v>
      </x:c>
    </x:row>
    <x:row r="23" ht="65" customHeight="1">
      <x:c r="A23" s="32" t="n">
        <x:v>22</x:v>
      </x:c>
      <x:c r="B23" s="32" t="str">
        <x:v>Módulo SFP TP-Link TL-SM311LS monomodo LC</x:v>
      </x:c>
      <x:c r="C23" s="32" t="str">
        <x:v>TP-Link TL-SM311LS</x:v>
      </x:c>
      <x:c r="D23" s="32" t="n">
        <x:v>1</x:v>
      </x:c>
      <x:c r="E23" s="32" t="str">
        <x:v>un</x:v>
      </x:c>
      <x:c r="F23" s="35" t="n">
        <x:f>'Orçamento'!E35/1</x:f>
        <x:v>103.55</x:v>
      </x:c>
      <x:c r="G23" s="35" t="n">
        <x:f>ROUND(D23*F23,2)</x:f>
        <x:v>103.55</x:v>
      </x:c>
      <x:c r="H23" s="32" t="str">
        <x:v>Terminações</x:v>
      </x:c>
      <x:c r="I23" s="32" t="str">
        <x:v>3 enlaces ópticos adjacentes × 2 pontas; confirmar compatibilidade por revisão</x:v>
      </x:c>
      <x:c r="J23" s="26" t="str">
        <x:f>'Orçamento'!N35</x:f>
        <x:v>Central Cabos</x:v>
      </x:c>
      <x:c r="K23" s="26" t="str">
        <x:f>'Orçamento'!H35</x:f>
        <x:v>https://www.centralcabos.com.br/modulo-sfp-1-25g-duplex-lc-monomodo-1000base-lx-1310nm-20km---tp-lin---tl-sm311ls/p</x:v>
      </x:c>
    </x:row>
    <x:row r="24" ht="65" customHeight="1">
      <x:c r="A24" s="32" t="n">
        <x:v>23</x:v>
      </x:c>
      <x:c r="B24" s="32" t="str">
        <x:v>Cordão óptico duplex monomodo LC/UPC 2 m</x:v>
      </x:c>
      <x:c r="C24" s="32" t="str">
        <x:v>SM 9/125 LC/UPC-LC/UPC 2 m (SKU não informado)</x:v>
      </x:c>
      <x:c r="D24" s="32" t="n">
        <x:v>1</x:v>
      </x:c>
      <x:c r="E24" s="32" t="str">
        <x:v>un</x:v>
      </x:c>
      <x:c r="F24" s="35" t="n">
        <x:f>'Orçamento'!E36/1</x:f>
        <x:v>73.11</x:v>
      </x:c>
      <x:c r="G24" s="35" t="n">
        <x:f>ROUND(D24*F24,2)</x:f>
        <x:v>73.11</x:v>
      </x:c>
      <x:c r="H24" s="32" t="str">
        <x:v>Terminações</x:v>
      </x:c>
      <x:c r="I24" s="32" t="str">
        <x:v>1 DIO–SFP por transceptor; LC/Uterminal nas duas pontas</x:v>
      </x:c>
      <x:c r="J24" s="26" t="str">
        <x:f>'Orçamento'!N36</x:f>
        <x:v>Instrufiber</x:v>
      </x:c>
      <x:c r="K24" s="26" t="str">
        <x:f>'Orçamento'!H36</x:f>
        <x:v>https://loja1.instrufiber.com.br/cordao-ptico-duplex-sm-9-125-lc-pc-lc-pc-2?tag=cord%C3%A3o+monomodo+ST</x:v>
      </x:c>
    </x:row>
    <x:row r="25" ht="65" customHeight="1">
      <x:c r="A25" s="32" t="n">
        <x:v>24</x:v>
      </x:c>
      <x:c r="B25" s="32" t="str">
        <x:v>Guia horizontal Caesa 1U x 55 mm</x:v>
      </x:c>
      <x:c r="C25" s="32" t="str">
        <x:v>Caesa 1U x 55 mm (SKU não informado)</x:v>
      </x:c>
      <x:c r="D25" s="32" t="n">
        <x:v>1</x:v>
      </x:c>
      <x:c r="E25" s="32" t="str">
        <x:v>un</x:v>
      </x:c>
      <x:c r="F25" s="35" t="n">
        <x:f>'Orçamento'!E37/1</x:f>
        <x:v>36</x:v>
      </x:c>
      <x:c r="G25" s="35" t="n">
        <x:f>ROUND(D25*F25,2)</x:f>
        <x:v>36</x:v>
      </x:c>
      <x:c r="H25" s="32" t="str">
        <x:v>Terminações</x:v>
      </x:c>
      <x:c r="I25" s="32" t="str">
        <x:v>1 por rack entre patch panel e switches; separar cobre/óptico</x:v>
      </x:c>
      <x:c r="J25" s="26" t="str">
        <x:f>'Orçamento'!N37</x:f>
        <x:v>KaBuM!</x:v>
      </x:c>
      <x:c r="K25" s="26" t="str">
        <x:f>'Orçamento'!H37</x:f>
        <x:v>https://www.kabum.com.br/produto/533002/guia-de-cabo-caesa-1ux55mm-preto</x:v>
      </x:c>
    </x:row>
    <x:row r="26" ht="65" customHeight="1">
      <x:c r="A26" s="32" t="n">
        <x:v>25</x:v>
      </x:c>
      <x:c r="B26" s="32" t="str">
        <x:v>Canaleta fechada PVC com tampa 50 x 50 mm, barra 2 m</x:v>
      </x:c>
      <x:c r="C26" s="32" t="str">
        <x:v>Enerbras 5050-E</x:v>
      </x:c>
      <x:c r="D26" s="32" t="n">
        <x:v>8</x:v>
      </x:c>
      <x:c r="E26" s="32" t="str">
        <x:v>barra</x:v>
      </x:c>
      <x:c r="F26" s="35" t="n">
        <x:f>'Orçamento'!E38/1</x:f>
        <x:v>82.82</x:v>
      </x:c>
      <x:c r="G26" s="35" t="n">
        <x:f>ROUND(D26*F26,2)</x:f>
        <x:v>662.56</x:v>
      </x:c>
      <x:c r="H26" s="32" t="str">
        <x:v>Montagem</x:v>
      </x:c>
      <x:c r="I26" s="32" t="str">
        <x:v>Estimativa: 16 / 24 / 28 / 28 m de caminhos compartilhados. Seção e quantidade a validar na vistoria.</x:v>
      </x:c>
      <x:c r="J26" s="26" t="str">
        <x:f>'Orçamento'!N38</x:f>
        <x:v>Eletriza</x:v>
      </x:c>
      <x:c r="K26" s="26" t="str">
        <x:f>'Orçamento'!H38</x:f>
        <x:v>https://eletriza.com.br/materiais-eletricos/canaletas</x:v>
      </x:c>
    </x:row>
    <x:row r="27" ht="65" customHeight="1">
      <x:c r="A27" s="32" t="n">
        <x:v>26</x:v>
      </x:c>
      <x:c r="B27" s="32" t="str">
        <x:v>Eletroduto rígido soldável PVC 32 mm, barra 3 m</x:v>
      </x:c>
      <x:c r="C27" s="32" t="str">
        <x:v>Tigre 32 mm / loja ref. 92495</x:v>
      </x:c>
      <x:c r="D27" s="32" t="n">
        <x:v>2</x:v>
      </x:c>
      <x:c r="E27" s="32" t="str">
        <x:v>barra</x:v>
      </x:c>
      <x:c r="F27" s="35" t="n">
        <x:f>'Orçamento'!E39/1</x:f>
        <x:v>27</x:v>
      </x:c>
      <x:c r="G27" s="35" t="n">
        <x:f>ROUND(D27*F27,2)</x:f>
        <x:v>54</x:v>
      </x:c>
      <x:c r="H27" s="32" t="str">
        <x:v>Montagem</x:v>
      </x:c>
      <x:c r="I27" s="32" t="str">
        <x:v>Estimativa: 24 m para shaft e transições; 6 m por piso como rateio financeiro. Não compartilhar com energia.</x:v>
      </x:c>
      <x:c r="J27" s="26" t="str">
        <x:f>'Orçamento'!N39</x:f>
        <x:v>Roque</x:v>
      </x:c>
      <x:c r="K27" s="26" t="str">
        <x:f>'Orçamento'!H39</x:f>
        <x:v>https://loja.roquebr.com/eletroduto-rigido-sold-32mm-3m---tigre/p</x:v>
      </x:c>
    </x:row>
    <x:row r="28" ht="65" customHeight="1">
      <x:c r="A28" s="32" t="n">
        <x:v>27</x:v>
      </x:c>
      <x:c r="B28" s="32" t="str">
        <x:v>Bandeja fixa rack 19 polegadas, 1U x 250 mm</x:v>
      </x:c>
      <x:c r="C28" s="32" t="str">
        <x:v>Nilko NK030160-C250</x:v>
      </x:c>
      <x:c r="D28" s="32" t="n">
        <x:v>1</x:v>
      </x:c>
      <x:c r="E28" s="32" t="str">
        <x:v>un</x:v>
      </x:c>
      <x:c r="F28" s="35" t="n">
        <x:f>'Orçamento'!E40/1</x:f>
        <x:v>60.16</x:v>
      </x:c>
      <x:c r="G28" s="35" t="n">
        <x:f>ROUND(D28*F28,2)</x:f>
        <x:v>60.16</x:v>
      </x:c>
      <x:c r="H28" s="32" t="str">
        <x:v>Montagem</x:v>
      </x:c>
      <x:c r="I28" s="32" t="str">
        <x:v>Uma por rack para dispositivos compactos; carga, profundidade e fixação a conferir. Loja informa prazo de fabricação.</x:v>
      </x:c>
      <x:c r="J28" s="26" t="str">
        <x:f>'Orçamento'!N40</x:f>
        <x:v>Nilko</x:v>
      </x:c>
      <x:c r="K28" s="26" t="str">
        <x:f>'Orçamento'!H40</x:f>
        <x:v>https://loja.nilko.com.br/informatica/acessorios/bandeja-fixa-para-rack-19-x-1u-250mm</x:v>
      </x:c>
    </x:row>
    <x:row r="29" ht="65" customHeight="1">
      <x:c r="A29" s="32" t="n">
        <x:v>28</x:v>
      </x:c>
      <x:c r="B29" s="32" t="str">
        <x:v>Conjunto porca gaiola e parafuso para rack 19 polegadas</x:v>
      </x:c>
      <x:c r="C29" s="32" t="str">
        <x:v>Central Cabos ref. 5528</x:v>
      </x:c>
      <x:c r="D29" s="32" t="n">
        <x:v>24</x:v>
      </x:c>
      <x:c r="E29" s="32" t="str">
        <x:v>conj.</x:v>
      </x:c>
      <x:c r="F29" s="35" t="n">
        <x:f>'Orçamento'!E41/1</x:f>
        <x:v>0.86</x:v>
      </x:c>
      <x:c r="G29" s="35" t="n">
        <x:f>ROUND(D29*F29,2)</x:f>
        <x:v>20.64</x:v>
      </x:c>
      <x:c r="H29" s="32" t="str">
        <x:v>Montagem</x:v>
      </x:c>
      <x:c r="I29" s="32" t="str">
        <x:v>24 conjuntos por rack, incluindo reserva; rosca compatível com trilhos e acessórios a confirmar.</x:v>
      </x:c>
      <x:c r="J29" s="26" t="str">
        <x:f>'Orçamento'!N41</x:f>
        <x:v>Central Cabos</x:v>
      </x:c>
      <x:c r="K29" s="26" t="str">
        <x:f>'Orçamento'!H41</x:f>
        <x:v>https://www.centralcabos.com.br/kit-porca-gaiola-com-parafuso/p</x:v>
      </x:c>
    </x:row>
    <x:row r="30" ht="65" customHeight="1">
      <x:c r="A30" s="32" t="n">
        <x:v>29</x:v>
      </x:c>
      <x:c r="B30" s="32" t="str">
        <x:v>Fita de velcro reutilizável, rolo 5 m</x:v>
      </x:c>
      <x:c r="C30" s="32" t="str">
        <x:v>Costa Brava IDORGCABOSVELCROPRETO</x:v>
      </x:c>
      <x:c r="D30" s="32" t="n">
        <x:v>1</x:v>
      </x:c>
      <x:c r="E30" s="32" t="str">
        <x:v>rolo</x:v>
      </x:c>
      <x:c r="F30" s="35" t="n">
        <x:f>'Orçamento'!E42/1</x:f>
        <x:v>24.99</x:v>
      </x:c>
      <x:c r="G30" s="35" t="n">
        <x:f>ROUND(D30*F30,2)</x:f>
        <x:v>24.99</x:v>
      </x:c>
      <x:c r="H30" s="32" t="str">
        <x:v>Montagem</x:v>
      </x:c>
      <x:c r="I30" s="32" t="str">
        <x:v>Um rolo por piso; feixes sem compressão dos cabos. Preço de referência: anúncio indica esgotado, recotar equivalente.</x:v>
      </x:c>
      <x:c r="J30" s="26" t="str">
        <x:f>'Orçamento'!N42</x:f>
        <x:v>Costa Brava Home</x:v>
      </x:c>
      <x:c r="K30" s="26" t="str">
        <x:f>'Orçamento'!H42</x:f>
        <x:v>https://www.costabravahome.com.br/produtos/fita-velcro-organizadora-de-cabos-5m-p-usb-carregador-e-fios-em-geral/</x:v>
      </x:c>
    </x:row>
    <x:row r="31" ht="65" customHeight="1">
      <x:c r="A31" s="32" t="n">
        <x:v>30</x:v>
      </x:c>
      <x:c r="B31" s="32" t="str">
        <x:v>Kit de buchas e parafusos, pacote 100 conjuntos</x:v>
      </x:c>
      <x:c r="C31" s="32" t="str">
        <x:v>Rio Reveste kit c/100 (dimensão a confirmar)</x:v>
      </x:c>
      <x:c r="D31" s="32" t="n">
        <x:v>1</x:v>
      </x:c>
      <x:c r="E31" s="32" t="str">
        <x:v>pac.</x:v>
      </x:c>
      <x:c r="F31" s="35" t="n">
        <x:f>'Orçamento'!E43/1</x:f>
        <x:v>40</x:v>
      </x:c>
      <x:c r="G31" s="35" t="n">
        <x:f>ROUND(D31*F31,2)</x:f>
        <x:v>40</x:v>
      </x:c>
      <x:c r="H31" s="32" t="str">
        <x:v>Montagem</x:v>
      </x:c>
      <x:c r="I31" s="32" t="str">
        <x:v>Um pacote por piso para fixações leves de canaletas/caixas; definir dimensão conforme parede. Não usar como ancoragem de rack.</x:v>
      </x:c>
      <x:c r="J31" s="26" t="str">
        <x:f>'Orçamento'!N43</x:f>
        <x:v>Rio Reveste</x:v>
      </x:c>
      <x:c r="K31" s="26" t="str">
        <x:f>'Orçamento'!H43</x:f>
        <x:v>https://www.r2rioreveste.com.br/product-page/kit-parafuso-e-bucha-c-100</x:v>
      </x:c>
    </x:row>
    <x:row r="32" ht="65" customHeight="1">
      <x:c r="A32" s="32" t="n">
        <x:v>31</x:v>
      </x:c>
      <x:c r="B32" s="32" t="str">
        <x:v>Etiquetas adesivas de identificação, números 1 a 100</x:v>
      </x:c>
      <x:c r="C32" s="32" t="str">
        <x:v>Micro Oficina vinil / 1 a 100</x:v>
      </x:c>
      <x:c r="D32" s="32" t="n">
        <x:v>50</x:v>
      </x:c>
      <x:c r="E32" s="32" t="str">
        <x:v>etiqueta</x:v>
      </x:c>
      <x:c r="F32" s="66" t="n">
        <x:f>'Orçamento'!E44/100</x:f>
        <x:v>0.4275</x:v>
      </x:c>
      <x:c r="G32" s="35" t="n">
        <x:f>ROUND(D32*F32,2)</x:f>
        <x:v>21.38</x:v>
      </x:c>
      <x:c r="H32" s="32" t="str">
        <x:v>Montagem</x:v>
      </x:c>
      <x:c r="I32" s="32" t="str">
        <x:v>200 etiquetas: terminações, portas e reserva; rateio de 50 por piso. Acrescentar identificação do andar ao número.</x:v>
      </x:c>
      <x:c r="J32" s="26" t="str">
        <x:f>'Orçamento'!N44</x:f>
        <x:v>Magazine Luiza</x:v>
      </x:c>
      <x:c r="K32" s="26" t="str">
        <x:f>'Orçamento'!H44</x:f>
        <x:v>https://www.magazineluiza.com.br/adesivo-etiqueta-identificador-fios-e-cabos-numerado-1-a-100-micro-oficina/p/ed3a2a8gg3/pa/etpi/</x:v>
      </x:c>
    </x:row>
    <x:row r="33" ht="65" customHeight="1">
      <x:c r="A33" s="32" t="n">
        <x:v>32</x:v>
      </x:c>
      <x:c r="B33" s="32" t="str">
        <x:v>Provisão: conexões, suportes de eletroduto e ancoragens dos racks</x:v>
      </x:c>
      <x:c r="C33" s="32" t="str">
        <x:v>Lote técnico por piso; especificação após vistoria</x:v>
      </x:c>
      <x:c r="D33" s="32" t="n">
        <x:v>1</x:v>
      </x:c>
      <x:c r="E33" s="32" t="str">
        <x:v>lote</x:v>
      </x:c>
      <x:c r="F33" s="35" t="n">
        <x:f>'Orçamento'!E45/1</x:f>
        <x:v>110</x:v>
      </x:c>
      <x:c r="G33" s="35" t="n">
        <x:f>ROUND(D33*F33,2)</x:f>
        <x:v>110</x:v>
      </x:c>
      <x:c r="H33" s="32" t="str">
        <x:v>Montagem</x:v>
      </x:c>
      <x:c r="I33" s="32" t="str">
        <x:v>Estimativa técnica por piso: R$ 60 para curvas/luvas/terminais/abraçadeiras e R$ 50 para ancoragens. Não é cotação de loja.</x:v>
      </x:c>
      <x:c r="J33" s="26" t="str">
        <x:f>'Orçamento'!N45</x:f>
        <x:v>A cotar</x:v>
      </x:c>
      <x:c r="K33" s="26" t="n">
        <x:f>'Orçamento'!H45</x:f>
        <x:v>0</x:v>
      </x:c>
    </x:row>
    <x:row r="34">
      <x:c r="B34" s="26"/>
      <x:c r="C34" s="26"/>
      <x:c r="F34" s="20"/>
      <x:c r="G34" s="20"/>
      <x:c r="I34" s="26"/>
      <x:c r="J34" s="26"/>
      <x:c r="K34" s="26"/>
    </x:row>
    <x:row r="35">
      <x:c r="A35" t="str">
        <x:v>Totais representam materiais do pavimento; quantidades de montagem preliminares e rateio da fibra a validar na vistoria.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8" hidden="0" customWidth="1"/>
    <x:col min="2" max="2" width="55" hidden="0" customWidth="1"/>
    <x:col min="3" max="3" width="47" hidden="0" customWidth="1"/>
    <x:col min="4" max="4" width="12" hidden="0" customWidth="1"/>
    <x:col min="5" max="5" width="12" hidden="0" customWidth="1"/>
    <x:col min="6" max="6" width="17" hidden="0" customWidth="1"/>
    <x:col min="7" max="7" width="17" hidden="0" customWidth="1"/>
    <x:col min="8" max="8" width="16" hidden="0" customWidth="1"/>
    <x:col min="9" max="9" width="50" hidden="0" customWidth="1"/>
    <x:col min="10" max="10" width="22" hidden="0" customWidth="1"/>
    <x:col min="11" max="11" width="60" hidden="0" customWidth="1"/>
  </x:cols>
  <x:sheetData>
    <x:row r="1">
      <x:c r="A1" s="31"/>
      <x:c r="B1" s="31"/>
      <x:c r="C1" s="31"/>
      <x:c r="D1" s="31"/>
      <x:c r="E1" s="31"/>
      <x:c r="F1" s="31"/>
      <x:c r="G1" s="31"/>
      <x:c r="H1" s="31"/>
      <x:c r="I1" s="31"/>
    </x:row>
    <x:row r="2">
      <x:c r="A2" s="31" t="str">
        <x:v>Orçamento de materiais | 1º andar</x:v>
      </x:c>
      <x:c r="B2" s="31"/>
      <x:c r="C2" s="31"/>
      <x:c r="D2" s="31"/>
      <x:c r="E2" s="31"/>
      <x:c r="F2" s="31"/>
      <x:c r="G2" s="31"/>
      <x:c r="H2" s="31"/>
      <x:c r="I2" s="31"/>
    </x:row>
    <x:row r="3">
      <x:c r="A3" s="31" t="str">
        <x:v>6 pontos de terminais + 1 AP(s); computadores não incluídos</x:v>
      </x:c>
      <x:c r="B3" s="31"/>
      <x:c r="C3" s="31"/>
      <x:c r="D3" s="31"/>
      <x:c r="E3" s="31"/>
      <x:c r="F3" s="31"/>
      <x:c r="G3" s="31"/>
      <x:c r="H3" s="31"/>
      <x:c r="I3" s="31"/>
    </x:row>
    <x:row r="4">
      <x:c r="A4" s="37"/>
      <x:c r="B4" s="37"/>
      <x:c r="C4" s="37"/>
      <x:c r="D4" s="37"/>
      <x:c r="E4" s="37"/>
      <x:c r="F4" s="37" t="str">
        <x:v>TOTAL DO ANDAR</x:v>
      </x:c>
      <x:c r="G4" s="38" t="n">
        <x:f>SUM('Orçamento'!K14:K45)</x:f>
        <x:v>34369.119999999995</x:v>
      </x:c>
      <x:c r="H4" s="37"/>
      <x:c r="I4" s="37"/>
    </x:row>
    <x:row r="5">
      <x:c r="A5" s="31"/>
      <x:c r="B5" s="31"/>
      <x:c r="C5" s="31"/>
      <x:c r="D5" s="31"/>
      <x:c r="E5" s="31"/>
      <x:c r="F5" s="31"/>
      <x:c r="G5" s="31"/>
      <x:c r="H5" s="31"/>
      <x:c r="I5" s="31"/>
    </x:row>
    <x:row r="6" ht="30" customHeight="1">
      <x:c r="A6" s="65" t="str">
        <x:v>ID</x:v>
      </x:c>
      <x:c r="B6" s="65" t="str">
        <x:v>Item / especificação</x:v>
      </x:c>
      <x:c r="C6" s="65" t="str">
        <x:v>Modelo / referência</x:v>
      </x:c>
      <x:c r="D6" s="65" t="str">
        <x:v>Qtd.</x:v>
      </x:c>
      <x:c r="E6" s="65" t="str">
        <x:v>Un.</x:v>
      </x:c>
      <x:c r="F6" s="65" t="str">
        <x:v>Preço unit. (R$)</x:v>
      </x:c>
      <x:c r="G6" s="65" t="str">
        <x:v>Subtotal (R$)</x:v>
      </x:c>
      <x:c r="H6" s="65" t="str">
        <x:v>Grupo</x:v>
      </x:c>
      <x:c r="I6" s="65" t="str">
        <x:v>Aplicação / premissa técnica</x:v>
      </x:c>
      <x:c r="J6" s="65" t="str">
        <x:v>Loja / fonte</x:v>
      </x:c>
      <x:c r="K6" s="65" t="str">
        <x:v>Fonte / URL</x:v>
      </x:c>
    </x:row>
    <x:row r="7" ht="65" customHeight="1">
      <x:c r="A7" s="32" t="n">
        <x:v>1</x:v>
      </x:c>
      <x:c r="B7" s="32" t="str">
        <x:v>Rack de parede 19" 12U Intelbras MRD 1257</x:v>
      </x:c>
      <x:c r="C7" s="32" t="str">
        <x:v>Intelbras MRD 1257</x:v>
      </x:c>
      <x:c r="D7" s="32" t="n">
        <x:v>1</x:v>
      </x:c>
      <x:c r="E7" s="32" t="str">
        <x:v>un</x:v>
      </x:c>
      <x:c r="F7" s="35" t="n">
        <x:f>'Orçamento'!E14/1</x:f>
        <x:v>1014.42</x:v>
      </x:c>
      <x:c r="G7" s="35" t="n">
        <x:f>ROUND(D7*F7,2)</x:f>
        <x:v>1014.42</x:v>
      </x:c>
      <x:c r="H7" s="32" t="str">
        <x:v>Equipamentos</x:v>
      </x:c>
      <x:c r="I7" s="32" t="str">
        <x:v>RACK-T / RACK-CPD / RACK-2 / RACK-3; servidores em torre fora do rack</x:v>
      </x:c>
      <x:c r="J7" s="26" t="str">
        <x:f>'Orçamento'!N14</x:f>
        <x:v>KaBuM!</x:v>
      </x:c>
      <x:c r="K7" s="26" t="str">
        <x:f>'Orçamento'!H14</x:f>
        <x:v>https://www.kabum.com.br/produto/303757/mini-rack-desmontavel-de-parede-12u-19-x-570mm-intelbras-mrd-1257</x:v>
      </x:c>
    </x:row>
    <x:row r="8" ht="65" customHeight="1">
      <x:c r="A8" s="32" t="n">
        <x:v>3</x:v>
      </x:c>
      <x:c r="B8" s="32" t="str">
        <x:v>Switch acesso 1º/3º TP-Link TL-SG116E, 16xGbE Easy Smart</x:v>
      </x:c>
      <x:c r="C8" s="32" t="str">
        <x:v>TP-Link TL-SG116E</x:v>
      </x:c>
      <x:c r="D8" s="32" t="n">
        <x:v>1</x:v>
      </x:c>
      <x:c r="E8" s="32" t="str">
        <x:v>un</x:v>
      </x:c>
      <x:c r="F8" s="35" t="n">
        <x:f>'Orçamento'!E16/1</x:f>
        <x:v>412.74</x:v>
      </x:c>
      <x:c r="G8" s="35" t="n">
        <x:f>ROUND(D8*F8,2)</x:f>
        <x:v>412.74</x:v>
      </x:c>
      <x:c r="H8" s="32" t="str">
        <x:v>Equipamentos</x:v>
      </x:c>
      <x:c r="I8" s="32" t="str">
        <x:v>N3: 6 terminais + 2 servidores + uplink = 9; 3º: 10 terminais + uplink = 11; sem PoE/SFP</x:v>
      </x:c>
      <x:c r="J8" s="26" t="str">
        <x:f>'Orçamento'!N16</x:f>
        <x:v>KaBuM!</x:v>
      </x:c>
      <x:c r="K8" s="26" t="str">
        <x:f>'Orçamento'!H16</x:f>
        <x:v>https://www.kabum.com.br/produto/384130/switch-tp-link-16-portas-10-100-1000-mbps-tl-sg116e</x:v>
      </x:c>
    </x:row>
    <x:row r="9" ht="65" customHeight="1">
      <x:c r="A9" s="32" t="n">
        <x:v>5</x:v>
      </x:c>
      <x:c r="B9" s="32" t="str">
        <x:v>Switch distribuição/PoE TP-Link TL-SG2210MP, 8xPoE+ + 2 SFP, 150 W</x:v>
      </x:c>
      <x:c r="C9" s="32" t="str">
        <x:v>TP-Link TL-SG2210MP</x:v>
      </x:c>
      <x:c r="D9" s="32" t="n">
        <x:v>1</x:v>
      </x:c>
      <x:c r="E9" s="32" t="str">
        <x:v>un</x:v>
      </x:c>
      <x:c r="F9" s="35" t="n">
        <x:f>'Orçamento'!E18/1</x:f>
        <x:v>1044</x:v>
      </x:c>
      <x:c r="G9" s="35" t="n">
        <x:f>ROUND(D9*F9,2)</x:f>
        <x:v>1044</x:v>
      </x:c>
      <x:c r="H9" s="32" t="str">
        <x:v>Equipamentos</x:v>
      </x:c>
      <x:c r="I9" s="32" t="str">
        <x:v>SW-BB-T/1/2/3: backbone, uplink local e 5 APs; 2 SFP nos andares intermediários</x:v>
      </x:c>
      <x:c r="J9" s="26" t="str">
        <x:f>'Orçamento'!N18</x:f>
        <x:v>Magazine Luiza</x:v>
      </x:c>
      <x:c r="K9" s="26" t="str">
        <x:f>'Orçamento'!H18</x:f>
        <x:v>https://www.magazineluiza.com.br/switch-gigabit-tp-link-8-portas-2-sfp-sg2210mp-poe-150w/p/efbdb23fa4/in/swit/</x:v>
      </x:c>
    </x:row>
    <x:row r="10" ht="65" customHeight="1">
      <x:c r="A10" s="32" t="n">
        <x:v>7</x:v>
      </x:c>
      <x:c r="B10" s="32" t="str">
        <x:v>AP corporativo TP-Link EAP610 Wi-Fi 6, 802.3at</x:v>
      </x:c>
      <x:c r="C10" s="32" t="str">
        <x:v>TP-Link EAP610</x:v>
      </x:c>
      <x:c r="D10" s="32" t="n">
        <x:v>1</x:v>
      </x:c>
      <x:c r="E10" s="32" t="str">
        <x:v>un</x:v>
      </x:c>
      <x:c r="F10" s="35" t="n">
        <x:f>'Orçamento'!E20/1</x:f>
        <x:v>849.9</x:v>
      </x:c>
      <x:c r="G10" s="35" t="n">
        <x:f>ROUND(D10*F10,2)</x:f>
        <x:v>849.9</x:v>
      </x:c>
      <x:c r="H10" s="32" t="str">
        <x:v>Equipamentos</x:v>
      </x:c>
      <x:c r="I10" s="32" t="str">
        <x:v>AP-CORP-T, AP-1-01, AP-2-01, AP-3-01; um por pavimento</x:v>
      </x:c>
      <x:c r="J10" s="26" t="str">
        <x:f>'Orçamento'!N20</x:f>
        <x:v>KaBuM!</x:v>
      </x:c>
      <x:c r="K10" s="26" t="str">
        <x:f>'Orçamento'!H20</x:f>
        <x:v>https://www.kabum.com.br/produto/388006/access-point-tp-link-eap610-ax1800-1775mbps-omada-wi-fi-6-montavel-em-teto</x:v>
      </x:c>
    </x:row>
    <x:row r="11" ht="65" customHeight="1">
      <x:c r="A11" s="32" t="n">
        <x:v>9</x:v>
      </x:c>
      <x:c r="B11" s="32" t="str">
        <x:v>Servidor principal Lenovo ST50 V3 Xeon E-2414, 16 GB, 2 TB</x:v>
      </x:c>
      <x:c r="C11" s="32" t="str">
        <x:v>Lenovo ST50 V3 / 7DF3S3DG00</x:v>
      </x:c>
      <x:c r="D11" s="32" t="n">
        <x:v>1</x:v>
      </x:c>
      <x:c r="E11" s="32" t="str">
        <x:v>un</x:v>
      </x:c>
      <x:c r="F11" s="35" t="n">
        <x:f>'Orçamento'!E22/1</x:f>
        <x:v>11287.48</x:v>
      </x:c>
      <x:c r="G11" s="35" t="n">
        <x:f>ROUND(D11*F11,2)</x:f>
        <x:v>11287.48</x:v>
      </x:c>
      <x:c r="H11" s="32" t="str">
        <x:v>Equipamentos</x:v>
      </x:c>
      <x:c r="I11" s="32" t="str">
        <x:v>SRV-01: SKU 7DF3S3DG00, 16 GB / 2 TB, sem SO; dimensionar aplicações e memória ECC</x:v>
      </x:c>
      <x:c r="J11" s="26" t="str">
        <x:f>'Orçamento'!N22</x:f>
        <x:v>HD Store</x:v>
      </x:c>
      <x:c r="K11" s="26" t="str">
        <x:f>'Orçamento'!H22</x:f>
        <x:v>https://www.hdstore.com.br/servidor-lenovo-thinksystem-st50-v3-xeon-e-2414-4c-26ghz-16gb-2tb-300w-3-anos-de-garantia</x:v>
      </x:c>
    </x:row>
    <x:row r="12" ht="65" customHeight="1">
      <x:c r="A12" s="32" t="n">
        <x:v>10</x:v>
      </x:c>
      <x:c r="B12" s="32" t="str">
        <x:v>Servidor backup Lenovo ST50 V3 Xeon E-2414, 16 GB, 2 TB</x:v>
      </x:c>
      <x:c r="C12" s="32" t="str">
        <x:v>Lenovo ST50 V3 / 7DF3S3DG00</x:v>
      </x:c>
      <x:c r="D12" s="32" t="n">
        <x:v>1</x:v>
      </x:c>
      <x:c r="E12" s="32" t="str">
        <x:v>un</x:v>
      </x:c>
      <x:c r="F12" s="35" t="n">
        <x:f>'Orçamento'!E23/1</x:f>
        <x:v>11287.48</x:v>
      </x:c>
      <x:c r="G12" s="35" t="n">
        <x:f>ROUND(D12*F12,2)</x:f>
        <x:v>11287.48</x:v>
      </x:c>
      <x:c r="H12" s="32" t="str">
        <x:v>Equipamentos</x:v>
      </x:c>
      <x:c r="I12" s="32" t="str">
        <x:v>BKP-01: 16 GB / 2 TB brutos, sem SO; dimensionar retenção e redundância de discos</x:v>
      </x:c>
      <x:c r="J12" s="26" t="str">
        <x:f>'Orçamento'!N23</x:f>
        <x:v>HD Store</x:v>
      </x:c>
      <x:c r="K12" s="26" t="str">
        <x:f>'Orçamento'!H23</x:f>
        <x:v>https://www.hdstore.com.br/servidor-lenovo-thinksystem-st50-v3-xeon-e-2414-4c-26ghz-16gb-2tb-300w-3-anos-de-garantia</x:v>
      </x:c>
    </x:row>
    <x:row r="13" ht="65" customHeight="1">
      <x:c r="A13" s="32" t="n">
        <x:v>12</x:v>
      </x:c>
      <x:c r="B13" s="32" t="str">
        <x:v>Nobreak SMS Gamer 1500 VA/1050 W senoidal pura</x:v>
      </x:c>
      <x:c r="C13" s="32" t="str">
        <x:v>SMS Gamer 29600</x:v>
      </x:c>
      <x:c r="D13" s="32" t="n">
        <x:v>2</x:v>
      </x:c>
      <x:c r="E13" s="32" t="str">
        <x:v>un</x:v>
      </x:c>
      <x:c r="F13" s="35" t="n">
        <x:f>'Orçamento'!E25/1</x:f>
        <x:v>2288</x:v>
      </x:c>
      <x:c r="G13" s="35" t="n">
        <x:f>ROUND(D13*F13,2)</x:f>
        <x:v>4576</x:v>
      </x:c>
      <x:c r="H13" s="32" t="str">
        <x:v>Equipamentos</x:v>
      </x:c>
      <x:c r="I13" s="32" t="str">
        <x:v>Sala de servidores: 1 para SRV-01, 1 para BKP-01 e rede do 1º andar</x:v>
      </x:c>
      <x:c r="J13" s="26" t="str">
        <x:f>'Orçamento'!N25</x:f>
        <x:v>KaBuM!</x:v>
      </x:c>
      <x:c r="K13" s="26" t="str">
        <x:f>'Orçamento'!H25</x:f>
        <x:v>https://www.kabum.com.br/produto/479332/nobreak-sms-gamer-1500va-1050w-senoidal-interativo-entrada-115-220v-saida-115-220v-29600</x:v>
      </x:c>
    </x:row>
    <x:row r="14" ht="65" customHeight="1">
      <x:c r="A14" s="32" t="n">
        <x:v>13</x:v>
      </x:c>
      <x:c r="B14" s="32" t="str">
        <x:v>Cabo U/UTP Cat6 Furukawa SOHOPLUS, caixa 305 m</x:v>
      </x:c>
      <x:c r="C14" s="32" t="str">
        <x:v>Furukawa SOHOPLUS 23400199</x:v>
      </x:c>
      <x:c r="D14" s="32" t="n">
        <x:v>116</x:v>
      </x:c>
      <x:c r="E14" s="32" t="str">
        <x:v>m</x:v>
      </x:c>
      <x:c r="F14" s="66" t="n">
        <x:f>'Orçamento'!E26/305</x:f>
        <x:v>3.934098360655738</x:v>
      </x:c>
      <x:c r="G14" s="35" t="n">
        <x:f>ROUND(D14*F14,2)</x:f>
        <x:v>456.36</x:v>
      </x:c>
      <x:c r="H14" s="32" t="str">
        <x:v>Cabeamento</x:v>
      </x:c>
      <x:c r="I14" s="32" t="str">
        <x:v>36 enlaces; planta: mínimo ortogonal 395,4 m (escala 1u=1m), +20%=474,5 m; 610 m comprados</x:v>
      </x:c>
      <x:c r="J14" s="26" t="str">
        <x:f>'Orçamento'!N26</x:f>
        <x:v>KaBuM!</x:v>
      </x:c>
      <x:c r="K14" s="26" t="str">
        <x:f>'Orçamento'!H26</x:f>
        <x:v>https://www.kabum.com.br/produto/109964/cabo-de-rede-cat-6-furukawa-sohoplus-305-metros-branco-23400199</x:v>
      </x:c>
    </x:row>
    <x:row r="15" ht="65" customHeight="1">
      <x:c r="A15" s="32" t="n">
        <x:v>14</x:v>
      </x:c>
      <x:c r="B15" s="32" t="str">
        <x:v>Cabo óptico monomodo 6FO antichamas, rolo 50 m</x:v>
      </x:c>
      <x:c r="C15" s="32" t="str">
        <x:v>Monomodo 6FO antichamas / 50 m (SKU não informado)</x:v>
      </x:c>
      <x:c r="D15" s="32" t="n">
        <x:v>25</x:v>
      </x:c>
      <x:c r="E15" s="32" t="str">
        <x:v>m</x:v>
      </x:c>
      <x:c r="F15" s="66" t="n">
        <x:f>'Orçamento'!E27/50</x:f>
        <x:v>9.0928</x:v>
      </x:c>
      <x:c r="G15" s="35" t="n">
        <x:f>ROUND(D15*F15,2)</x:f>
        <x:v>227.32</x:v>
      </x:c>
      <x:c r="H15" s="32" t="str">
        <x:v>Cabeamento</x:v>
      </x:c>
      <x:c r="I15" s="32" t="str">
        <x:v>3 trechos rack–rack; PDF mede shaft 16,33 m; 100 m comprados para percurso lateral</x:v>
      </x:c>
      <x:c r="J15" s="26" t="str">
        <x:f>'Orçamento'!N27</x:f>
        <x:v>CTMD</x:v>
      </x:c>
      <x:c r="K15" s="26" t="str">
        <x:f>'Orçamento'!H27</x:f>
        <x:v>https://loja.ctmd.eng.br/fibra-optica/9836-cabo-fibra-optica-monomodo-6fo-antichamas-int-ext-p-calhas-50m-.html</x:v>
      </x:c>
    </x:row>
    <x:row r="16" ht="65" customHeight="1">
      <x:c r="A16" s="32" t="n">
        <x:v>15</x:v>
      </x:c>
      <x:c r="B16" s="32" t="str">
        <x:v>Patch panel Cat6 Furukawa 24 portas</x:v>
      </x:c>
      <x:c r="C16" s="32" t="str">
        <x:v>Furukawa SOHOPLUS 35050439</x:v>
      </x:c>
      <x:c r="D16" s="32" t="n">
        <x:v>1</x:v>
      </x:c>
      <x:c r="E16" s="32" t="str">
        <x:v>un</x:v>
      </x:c>
      <x:c r="F16" s="35" t="n">
        <x:f>'Orçamento'!E28/1</x:f>
        <x:v>579.9</x:v>
      </x:c>
      <x:c r="G16" s="35" t="n">
        <x:f>ROUND(D16*F16,2)</x:f>
        <x:v>579.9</x:v>
      </x:c>
      <x:c r="H16" s="32" t="str">
        <x:v>Terminações</x:v>
      </x:c>
      <x:c r="I16" s="32" t="str">
        <x:v>1 por rack: térreo 3, 1º 7, 2º 15, 3º 11 terminações de área</x:v>
      </x:c>
      <x:c r="J16" s="26" t="str">
        <x:f>'Orçamento'!N28</x:f>
        <x:v>KaBuM!</x:v>
      </x:c>
      <x:c r="K16" s="26" t="str">
        <x:f>'Orçamento'!H28</x:f>
        <x:v>https://www.kabum.com.br/produto/474007/patch-panel-furukawa-t568a-b-soho-plus-cat-6-24-portas-35050439</x:v>
      </x:c>
    </x:row>
    <x:row r="17" ht="65" customHeight="1">
      <x:c r="A17" s="32" t="n">
        <x:v>16</x:v>
      </x:c>
      <x:c r="B17" s="32" t="str">
        <x:v>Keystone fêmea RJ45 Cat6</x:v>
      </x:c>
      <x:c r="C17" s="32" t="str">
        <x:v>RJ45 fêmea UTP Cat6 (SKU não informado)</x:v>
      </x:c>
      <x:c r="D17" s="32" t="n">
        <x:v>7</x:v>
      </x:c>
      <x:c r="E17" s="32" t="str">
        <x:v>un</x:v>
      </x:c>
      <x:c r="F17" s="35" t="n">
        <x:f>'Orçamento'!E29/1</x:f>
        <x:v>23.35</x:v>
      </x:c>
      <x:c r="G17" s="35" t="n">
        <x:f>ROUND(D17*F17,2)</x:f>
        <x:v>163.45</x:v>
      </x:c>
      <x:c r="H17" s="32" t="str">
        <x:v>Terminações</x:v>
      </x:c>
      <x:c r="I17" s="32" t="str">
        <x:v>31 pontos de terminais + 5 APs; servidores ligados localmente por patch cord</x:v>
      </x:c>
      <x:c r="J17" s="26" t="str">
        <x:f>'Orçamento'!N29</x:f>
        <x:v>KaBuM!</x:v>
      </x:c>
      <x:c r="K17" s="26" t="str">
        <x:f>'Orçamento'!H29</x:f>
        <x:v>https://www.kabum.com.br/produto/449852/conector-rj45-femea-utp-branco-cat-6</x:v>
      </x:c>
    </x:row>
    <x:row r="18" ht="65" customHeight="1">
      <x:c r="A18" s="32" t="n">
        <x:v>17</x:v>
      </x:c>
      <x:c r="B18" s="32" t="str">
        <x:v>Caixa de sobrepor 2 saídas para ponto de mesa</x:v>
      </x:c>
      <x:c r="C18" s="32" t="str">
        <x:v>Central Cabos ref. 3402</x:v>
      </x:c>
      <x:c r="D18" s="32" t="n">
        <x:v>6</x:v>
      </x:c>
      <x:c r="E18" s="32" t="str">
        <x:v>un</x:v>
      </x:c>
      <x:c r="F18" s="35" t="n">
        <x:f>'Orçamento'!E30/1</x:f>
        <x:v>5.22</x:v>
      </x:c>
      <x:c r="G18" s="35" t="n">
        <x:f>ROUND(D18*F18,2)</x:f>
        <x:v>31.32</x:v>
      </x:c>
      <x:c r="H18" s="32" t="str">
        <x:v>Terminações</x:v>
      </x:c>
      <x:c r="I18" s="32" t="str">
        <x:v>1 em cada estação cabeada; 5 APs usam caixa de teto própria</x:v>
      </x:c>
      <x:c r="J18" s="26" t="str">
        <x:f>'Orçamento'!N30</x:f>
        <x:v>Central Cabos</x:v>
      </x:c>
      <x:c r="K18" s="26" t="str">
        <x:f>'Orçamento'!H30</x:f>
        <x:v>https://www.centralcabos.com.br/caixa-sobrepor-2-saidas---3402/p</x:v>
      </x:c>
    </x:row>
    <x:row r="19" ht="65" customHeight="1">
      <x:c r="A19" s="32" t="n">
        <x:v>18</x:v>
      </x:c>
      <x:c r="B19" s="32" t="str">
        <x:v>Caixa octogonal PVC 4x4 Tramontina 57500/005 para AP</x:v>
      </x:c>
      <x:c r="C19" s="32" t="str">
        <x:v>Tramontina 57500/005</x:v>
      </x:c>
      <x:c r="D19" s="32" t="n">
        <x:v>1</x:v>
      </x:c>
      <x:c r="E19" s="32" t="str">
        <x:v>un</x:v>
      </x:c>
      <x:c r="F19" s="35" t="n">
        <x:f>'Orçamento'!E31/1</x:f>
        <x:v>10.2</x:v>
      </x:c>
      <x:c r="G19" s="35" t="n">
        <x:f>ROUND(D19*F19,2)</x:f>
        <x:v>10.2</x:v>
      </x:c>
      <x:c r="H19" s="32" t="str">
        <x:v>Terminações</x:v>
      </x:c>
      <x:c r="I19" s="32" t="str">
        <x:v>1 por AP para acomodar terminação, sujeito ao tipo de forro</x:v>
      </x:c>
      <x:c r="J19" s="26" t="str">
        <x:f>'Orçamento'!N31</x:f>
        <x:v>Magazine Luiza</x:v>
      </x:c>
      <x:c r="K19" s="26" t="str">
        <x:f>'Orçamento'!H31</x:f>
        <x:v>https://www.magazineluiza.com.br/caixa-de-pvc-octogonal-4x4-amarela-c-fundo-movel-57500005-tramontina-tramontina-eletrik/p/hggjb81446/cj/cxpe/</x:v>
      </x:c>
    </x:row>
    <x:row r="20" ht="65" customHeight="1">
      <x:c r="A20" s="32" t="n">
        <x:v>19</x:v>
      </x:c>
      <x:c r="B20" s="32" t="str">
        <x:v>Patch cord X-cell Cat6 UTP 2 m</x:v>
      </x:c>
      <x:c r="C20" s="32" t="str">
        <x:v>X-cell Cat6 UTP 2 m (SKU não informado)</x:v>
      </x:c>
      <x:c r="D20" s="32" t="n">
        <x:v>18</x:v>
      </x:c>
      <x:c r="E20" s="32" t="str">
        <x:v>un</x:v>
      </x:c>
      <x:c r="F20" s="35" t="n">
        <x:f>'Orçamento'!E32/1</x:f>
        <x:v>14.9</x:v>
      </x:c>
      <x:c r="G20" s="35" t="n">
        <x:f>ROUND(D20*F20,2)</x:f>
        <x:v>268.2</x:v>
      </x:c>
      <x:c r="H20" s="32" t="str">
        <x:v>Terminações</x:v>
      </x:c>
      <x:c r="I20" s="32" t="str">
        <x:v>36 no rack + 36 nas pontas + 2 servidores + 4 interswitch + 1 gateway + 1 reserva</x:v>
      </x:c>
      <x:c r="J20" s="26" t="str">
        <x:f>'Orçamento'!N32</x:f>
        <x:v>KaBuM!</x:v>
      </x:c>
      <x:c r="K20" s="26" t="str">
        <x:f>'Orçamento'!H32</x:f>
        <x:v>https://www.kabum.com.br/produto/409945/cabo-de-rede-cat-6-2-metros-2m-patch-cord-rj45-lan-internet</x:v>
      </x:c>
    </x:row>
    <x:row r="21" ht="65" customHeight="1">
      <x:c r="A21" s="32" t="n">
        <x:v>20</x:v>
      </x:c>
      <x:c r="B21" s="32" t="str">
        <x:v>PDU Max Eletron 19", 8 tomadas 10 A</x:v>
      </x:c>
      <x:c r="C21" s="32" t="str">
        <x:v>Max Eletron 19" / 8 tomadas 10 A (SKU não informado)</x:v>
      </x:c>
      <x:c r="D21" s="32" t="n">
        <x:v>1</x:v>
      </x:c>
      <x:c r="E21" s="32" t="str">
        <x:v>un</x:v>
      </x:c>
      <x:c r="F21" s="35" t="n">
        <x:f>'Orçamento'!E33/1</x:f>
        <x:v>94.9</x:v>
      </x:c>
      <x:c r="G21" s="35" t="n">
        <x:f>ROUND(D21*F21,2)</x:f>
        <x:v>94.9</x:v>
      </x:c>
      <x:c r="H21" s="32" t="str">
        <x:v>Terminações</x:v>
      </x:c>
      <x:c r="I21" s="32" t="str">
        <x:v>1 PDU por rack, alimentada por nobreak dimensionado</x:v>
      </x:c>
      <x:c r="J21" s="26" t="str">
        <x:f>'Orçamento'!N33</x:f>
        <x:v>KaBuM!</x:v>
      </x:c>
      <x:c r="K21" s="26" t="str">
        <x:f>'Orçamento'!H33</x:f>
        <x:v>https://www.kabum.com.br/produto/577263/calha-regua-p-rack-c-8-tomadas-10a-19-preto-max-eletron</x:v>
      </x:c>
    </x:row>
    <x:row r="22" ht="65" customHeight="1">
      <x:c r="A22" s="32" t="n">
        <x:v>21</x:v>
      </x:c>
      <x:c r="B22" s="32" t="str">
        <x:v>Mini DIO 6FO monomodo LC/UPC com pigtails</x:v>
      </x:c>
      <x:c r="C22" s="32" t="str">
        <x:v>Mini-DIO-6FO LC/UPC (referência do fornecedor)</x:v>
      </x:c>
      <x:c r="D22" s="32" t="n">
        <x:v>1</x:v>
      </x:c>
      <x:c r="E22" s="32" t="str">
        <x:v>un</x:v>
      </x:c>
      <x:c r="F22" s="35" t="n">
        <x:f>'Orçamento'!E34/1</x:f>
        <x:v>351.12</x:v>
      </x:c>
      <x:c r="G22" s="35" t="n">
        <x:f>ROUND(D22*F22,2)</x:f>
        <x:v>351.12</x:v>
      </x:c>
      <x:c r="H22" s="32" t="str">
        <x:v>Terminações</x:v>
      </x:c>
      <x:c r="I22" s="32" t="str">
        <x:v>1 por rack; 2 fibras por enlace; 4 fibras ativas nos andares 1 e 2</x:v>
      </x:c>
      <x:c r="J22" s="26" t="str">
        <x:f>'Orçamento'!N34</x:f>
        <x:v>Aztech</x:v>
      </x:c>
      <x:c r="K22" s="26" t="str">
        <x:f>'Orçamento'!H34</x:f>
        <x:v>https://www.aztech.com.br/mini-dio-6fo-de-aco-com-conectores-pigtail-e-acopladores-lcupc-monomodo</x:v>
      </x:c>
    </x:row>
    <x:row r="23" ht="65" customHeight="1">
      <x:c r="A23" s="32" t="n">
        <x:v>22</x:v>
      </x:c>
      <x:c r="B23" s="32" t="str">
        <x:v>Módulo SFP TP-Link TL-SM311LS monomodo LC</x:v>
      </x:c>
      <x:c r="C23" s="32" t="str">
        <x:v>TP-Link TL-SM311LS</x:v>
      </x:c>
      <x:c r="D23" s="32" t="n">
        <x:v>2</x:v>
      </x:c>
      <x:c r="E23" s="32" t="str">
        <x:v>un</x:v>
      </x:c>
      <x:c r="F23" s="35" t="n">
        <x:f>'Orçamento'!E35/1</x:f>
        <x:v>103.55</x:v>
      </x:c>
      <x:c r="G23" s="35" t="n">
        <x:f>ROUND(D23*F23,2)</x:f>
        <x:v>207.1</x:v>
      </x:c>
      <x:c r="H23" s="32" t="str">
        <x:v>Terminações</x:v>
      </x:c>
      <x:c r="I23" s="32" t="str">
        <x:v>3 enlaces ópticos adjacentes × 2 pontas; confirmar compatibilidade por revisão</x:v>
      </x:c>
      <x:c r="J23" s="26" t="str">
        <x:f>'Orçamento'!N35</x:f>
        <x:v>Central Cabos</x:v>
      </x:c>
      <x:c r="K23" s="26" t="str">
        <x:f>'Orçamento'!H35</x:f>
        <x:v>https://www.centralcabos.com.br/modulo-sfp-1-25g-duplex-lc-monomodo-1000base-lx-1310nm-20km---tp-lin---tl-sm311ls/p</x:v>
      </x:c>
    </x:row>
    <x:row r="24" ht="65" customHeight="1">
      <x:c r="A24" s="32" t="n">
        <x:v>23</x:v>
      </x:c>
      <x:c r="B24" s="32" t="str">
        <x:v>Cordão óptico duplex monomodo LC/UPC 2 m</x:v>
      </x:c>
      <x:c r="C24" s="32" t="str">
        <x:v>SM 9/125 LC/UPC-LC/UPC 2 m (SKU não informado)</x:v>
      </x:c>
      <x:c r="D24" s="32" t="n">
        <x:v>2</x:v>
      </x:c>
      <x:c r="E24" s="32" t="str">
        <x:v>un</x:v>
      </x:c>
      <x:c r="F24" s="35" t="n">
        <x:f>'Orçamento'!E36/1</x:f>
        <x:v>73.11</x:v>
      </x:c>
      <x:c r="G24" s="35" t="n">
        <x:f>ROUND(D24*F24,2)</x:f>
        <x:v>146.22</x:v>
      </x:c>
      <x:c r="H24" s="32" t="str">
        <x:v>Terminações</x:v>
      </x:c>
      <x:c r="I24" s="32" t="str">
        <x:v>1 DIO–SFP por transceptor; LC/Uterminal nas duas pontas</x:v>
      </x:c>
      <x:c r="J24" s="26" t="str">
        <x:f>'Orçamento'!N36</x:f>
        <x:v>Instrufiber</x:v>
      </x:c>
      <x:c r="K24" s="26" t="str">
        <x:f>'Orçamento'!H36</x:f>
        <x:v>https://loja1.instrufiber.com.br/cordao-ptico-duplex-sm-9-125-lc-pc-lc-pc-2?tag=cord%C3%A3o+monomodo+ST</x:v>
      </x:c>
    </x:row>
    <x:row r="25" ht="65" customHeight="1">
      <x:c r="A25" s="32" t="n">
        <x:v>24</x:v>
      </x:c>
      <x:c r="B25" s="32" t="str">
        <x:v>Guia horizontal Caesa 1U x 55 mm</x:v>
      </x:c>
      <x:c r="C25" s="32" t="str">
        <x:v>Caesa 1U x 55 mm (SKU não informado)</x:v>
      </x:c>
      <x:c r="D25" s="32" t="n">
        <x:v>1</x:v>
      </x:c>
      <x:c r="E25" s="32" t="str">
        <x:v>un</x:v>
      </x:c>
      <x:c r="F25" s="35" t="n">
        <x:f>'Orçamento'!E37/1</x:f>
        <x:v>36</x:v>
      </x:c>
      <x:c r="G25" s="35" t="n">
        <x:f>ROUND(D25*F25,2)</x:f>
        <x:v>36</x:v>
      </x:c>
      <x:c r="H25" s="32" t="str">
        <x:v>Terminações</x:v>
      </x:c>
      <x:c r="I25" s="32" t="str">
        <x:v>1 por rack entre patch panel e switches; separar cobre/óptico</x:v>
      </x:c>
      <x:c r="J25" s="26" t="str">
        <x:f>'Orçamento'!N37</x:f>
        <x:v>KaBuM!</x:v>
      </x:c>
      <x:c r="K25" s="26" t="str">
        <x:f>'Orçamento'!H37</x:f>
        <x:v>https://www.kabum.com.br/produto/533002/guia-de-cabo-caesa-1ux55mm-preto</x:v>
      </x:c>
    </x:row>
    <x:row r="26" ht="65" customHeight="1">
      <x:c r="A26" s="32" t="n">
        <x:v>25</x:v>
      </x:c>
      <x:c r="B26" s="32" t="str">
        <x:v>Canaleta fechada PVC com tampa 50 x 50 mm, barra 2 m</x:v>
      </x:c>
      <x:c r="C26" s="32" t="str">
        <x:v>Enerbras 5050-E</x:v>
      </x:c>
      <x:c r="D26" s="32" t="n">
        <x:v>12</x:v>
      </x:c>
      <x:c r="E26" s="32" t="str">
        <x:v>barra</x:v>
      </x:c>
      <x:c r="F26" s="35" t="n">
        <x:f>'Orçamento'!E38/1</x:f>
        <x:v>82.82</x:v>
      </x:c>
      <x:c r="G26" s="35" t="n">
        <x:f>ROUND(D26*F26,2)</x:f>
        <x:v>993.84</x:v>
      </x:c>
      <x:c r="H26" s="32" t="str">
        <x:v>Montagem</x:v>
      </x:c>
      <x:c r="I26" s="32" t="str">
        <x:v>Estimativa: 16 / 24 / 28 / 28 m de caminhos compartilhados. Seção e quantidade a validar na vistoria.</x:v>
      </x:c>
      <x:c r="J26" s="26" t="str">
        <x:f>'Orçamento'!N38</x:f>
        <x:v>Eletriza</x:v>
      </x:c>
      <x:c r="K26" s="26" t="str">
        <x:f>'Orçamento'!H38</x:f>
        <x:v>https://eletriza.com.br/materiais-eletricos/canaletas</x:v>
      </x:c>
    </x:row>
    <x:row r="27" ht="65" customHeight="1">
      <x:c r="A27" s="32" t="n">
        <x:v>26</x:v>
      </x:c>
      <x:c r="B27" s="32" t="str">
        <x:v>Eletroduto rígido soldável PVC 32 mm, barra 3 m</x:v>
      </x:c>
      <x:c r="C27" s="32" t="str">
        <x:v>Tigre 32 mm / loja ref. 92495</x:v>
      </x:c>
      <x:c r="D27" s="32" t="n">
        <x:v>2</x:v>
      </x:c>
      <x:c r="E27" s="32" t="str">
        <x:v>barra</x:v>
      </x:c>
      <x:c r="F27" s="35" t="n">
        <x:f>'Orçamento'!E39/1</x:f>
        <x:v>27</x:v>
      </x:c>
      <x:c r="G27" s="35" t="n">
        <x:f>ROUND(D27*F27,2)</x:f>
        <x:v>54</x:v>
      </x:c>
      <x:c r="H27" s="32" t="str">
        <x:v>Montagem</x:v>
      </x:c>
      <x:c r="I27" s="32" t="str">
        <x:v>Estimativa: 24 m para shaft e transições; 6 m por piso como rateio financeiro. Não compartilhar com energia.</x:v>
      </x:c>
      <x:c r="J27" s="26" t="str">
        <x:f>'Orçamento'!N39</x:f>
        <x:v>Roque</x:v>
      </x:c>
      <x:c r="K27" s="26" t="str">
        <x:f>'Orçamento'!H39</x:f>
        <x:v>https://loja.roquebr.com/eletroduto-rigido-sold-32mm-3m---tigre/p</x:v>
      </x:c>
    </x:row>
    <x:row r="28" ht="65" customHeight="1">
      <x:c r="A28" s="32" t="n">
        <x:v>27</x:v>
      </x:c>
      <x:c r="B28" s="32" t="str">
        <x:v>Bandeja fixa rack 19 polegadas, 1U x 250 mm</x:v>
      </x:c>
      <x:c r="C28" s="32" t="str">
        <x:v>Nilko NK030160-C250</x:v>
      </x:c>
      <x:c r="D28" s="32" t="n">
        <x:v>1</x:v>
      </x:c>
      <x:c r="E28" s="32" t="str">
        <x:v>un</x:v>
      </x:c>
      <x:c r="F28" s="35" t="n">
        <x:f>'Orçamento'!E40/1</x:f>
        <x:v>60.16</x:v>
      </x:c>
      <x:c r="G28" s="35" t="n">
        <x:f>ROUND(D28*F28,2)</x:f>
        <x:v>60.16</x:v>
      </x:c>
      <x:c r="H28" s="32" t="str">
        <x:v>Montagem</x:v>
      </x:c>
      <x:c r="I28" s="32" t="str">
        <x:v>Uma por rack para dispositivos compactos; carga, profundidade e fixação a conferir. Loja informa prazo de fabricação.</x:v>
      </x:c>
      <x:c r="J28" s="26" t="str">
        <x:f>'Orçamento'!N40</x:f>
        <x:v>Nilko</x:v>
      </x:c>
      <x:c r="K28" s="26" t="str">
        <x:f>'Orçamento'!H40</x:f>
        <x:v>https://loja.nilko.com.br/informatica/acessorios/bandeja-fixa-para-rack-19-x-1u-250mm</x:v>
      </x:c>
    </x:row>
    <x:row r="29" ht="65" customHeight="1">
      <x:c r="A29" s="32" t="n">
        <x:v>28</x:v>
      </x:c>
      <x:c r="B29" s="32" t="str">
        <x:v>Conjunto porca gaiola e parafuso para rack 19 polegadas</x:v>
      </x:c>
      <x:c r="C29" s="32" t="str">
        <x:v>Central Cabos ref. 5528</x:v>
      </x:c>
      <x:c r="D29" s="32" t="n">
        <x:v>24</x:v>
      </x:c>
      <x:c r="E29" s="32" t="str">
        <x:v>conj.</x:v>
      </x:c>
      <x:c r="F29" s="35" t="n">
        <x:f>'Orçamento'!E41/1</x:f>
        <x:v>0.86</x:v>
      </x:c>
      <x:c r="G29" s="35" t="n">
        <x:f>ROUND(D29*F29,2)</x:f>
        <x:v>20.64</x:v>
      </x:c>
      <x:c r="H29" s="32" t="str">
        <x:v>Montagem</x:v>
      </x:c>
      <x:c r="I29" s="32" t="str">
        <x:v>24 conjuntos por rack, incluindo reserva; rosca compatível com trilhos e acessórios a confirmar.</x:v>
      </x:c>
      <x:c r="J29" s="26" t="str">
        <x:f>'Orçamento'!N41</x:f>
        <x:v>Central Cabos</x:v>
      </x:c>
      <x:c r="K29" s="26" t="str">
        <x:f>'Orçamento'!H41</x:f>
        <x:v>https://www.centralcabos.com.br/kit-porca-gaiola-com-parafuso/p</x:v>
      </x:c>
    </x:row>
    <x:row r="30" ht="65" customHeight="1">
      <x:c r="A30" s="32" t="n">
        <x:v>29</x:v>
      </x:c>
      <x:c r="B30" s="32" t="str">
        <x:v>Fita de velcro reutilizável, rolo 5 m</x:v>
      </x:c>
      <x:c r="C30" s="32" t="str">
        <x:v>Costa Brava IDORGCABOSVELCROPRETO</x:v>
      </x:c>
      <x:c r="D30" s="32" t="n">
        <x:v>1</x:v>
      </x:c>
      <x:c r="E30" s="32" t="str">
        <x:v>rolo</x:v>
      </x:c>
      <x:c r="F30" s="35" t="n">
        <x:f>'Orçamento'!E42/1</x:f>
        <x:v>24.99</x:v>
      </x:c>
      <x:c r="G30" s="35" t="n">
        <x:f>ROUND(D30*F30,2)</x:f>
        <x:v>24.99</x:v>
      </x:c>
      <x:c r="H30" s="32" t="str">
        <x:v>Montagem</x:v>
      </x:c>
      <x:c r="I30" s="32" t="str">
        <x:v>Um rolo por piso; feixes sem compressão dos cabos. Preço de referência: anúncio indica esgotado, recotar equivalente.</x:v>
      </x:c>
      <x:c r="J30" s="26" t="str">
        <x:f>'Orçamento'!N42</x:f>
        <x:v>Costa Brava Home</x:v>
      </x:c>
      <x:c r="K30" s="26" t="str">
        <x:f>'Orçamento'!H42</x:f>
        <x:v>https://www.costabravahome.com.br/produtos/fita-velcro-organizadora-de-cabos-5m-p-usb-carregador-e-fios-em-geral/</x:v>
      </x:c>
    </x:row>
    <x:row r="31" ht="65" customHeight="1">
      <x:c r="A31" s="32" t="n">
        <x:v>30</x:v>
      </x:c>
      <x:c r="B31" s="32" t="str">
        <x:v>Kit de buchas e parafusos, pacote 100 conjuntos</x:v>
      </x:c>
      <x:c r="C31" s="32" t="str">
        <x:v>Rio Reveste kit c/100 (dimensão a confirmar)</x:v>
      </x:c>
      <x:c r="D31" s="32" t="n">
        <x:v>1</x:v>
      </x:c>
      <x:c r="E31" s="32" t="str">
        <x:v>pac.</x:v>
      </x:c>
      <x:c r="F31" s="35" t="n">
        <x:f>'Orçamento'!E43/1</x:f>
        <x:v>40</x:v>
      </x:c>
      <x:c r="G31" s="35" t="n">
        <x:f>ROUND(D31*F31,2)</x:f>
        <x:v>40</x:v>
      </x:c>
      <x:c r="H31" s="32" t="str">
        <x:v>Montagem</x:v>
      </x:c>
      <x:c r="I31" s="32" t="str">
        <x:v>Um pacote por piso para fixações leves de canaletas/caixas; definir dimensão conforme parede. Não usar como ancoragem de rack.</x:v>
      </x:c>
      <x:c r="J31" s="26" t="str">
        <x:f>'Orçamento'!N43</x:f>
        <x:v>Rio Reveste</x:v>
      </x:c>
      <x:c r="K31" s="26" t="str">
        <x:f>'Orçamento'!H43</x:f>
        <x:v>https://www.r2rioreveste.com.br/product-page/kit-parafuso-e-bucha-c-100</x:v>
      </x:c>
    </x:row>
    <x:row r="32" ht="65" customHeight="1">
      <x:c r="A32" s="32" t="n">
        <x:v>31</x:v>
      </x:c>
      <x:c r="B32" s="32" t="str">
        <x:v>Etiquetas adesivas de identificação, números 1 a 100</x:v>
      </x:c>
      <x:c r="C32" s="32" t="str">
        <x:v>Micro Oficina vinil / 1 a 100</x:v>
      </x:c>
      <x:c r="D32" s="32" t="n">
        <x:v>50</x:v>
      </x:c>
      <x:c r="E32" s="32" t="str">
        <x:v>etiqueta</x:v>
      </x:c>
      <x:c r="F32" s="66" t="n">
        <x:f>'Orçamento'!E44/100</x:f>
        <x:v>0.4275</x:v>
      </x:c>
      <x:c r="G32" s="35" t="n">
        <x:f>ROUND(D32*F32,2)</x:f>
        <x:v>21.38</x:v>
      </x:c>
      <x:c r="H32" s="32" t="str">
        <x:v>Montagem</x:v>
      </x:c>
      <x:c r="I32" s="32" t="str">
        <x:v>200 etiquetas: terminações, portas e reserva; rateio de 50 por piso. Acrescentar identificação do andar ao número.</x:v>
      </x:c>
      <x:c r="J32" s="26" t="str">
        <x:f>'Orçamento'!N44</x:f>
        <x:v>Magazine Luiza</x:v>
      </x:c>
      <x:c r="K32" s="26" t="str">
        <x:f>'Orçamento'!H44</x:f>
        <x:v>https://www.magazineluiza.com.br/adesivo-etiqueta-identificador-fios-e-cabos-numerado-1-a-100-micro-oficina/p/ed3a2a8gg3/pa/etpi/</x:v>
      </x:c>
    </x:row>
    <x:row r="33" ht="65" customHeight="1">
      <x:c r="A33" s="32" t="n">
        <x:v>32</x:v>
      </x:c>
      <x:c r="B33" s="32" t="str">
        <x:v>Provisão: conexões, suportes de eletroduto e ancoragens dos racks</x:v>
      </x:c>
      <x:c r="C33" s="32" t="str">
        <x:v>Lote técnico por piso; especificação após vistoria</x:v>
      </x:c>
      <x:c r="D33" s="32" t="n">
        <x:v>1</x:v>
      </x:c>
      <x:c r="E33" s="32" t="str">
        <x:v>lote</x:v>
      </x:c>
      <x:c r="F33" s="35" t="n">
        <x:f>'Orçamento'!E45/1</x:f>
        <x:v>110</x:v>
      </x:c>
      <x:c r="G33" s="35" t="n">
        <x:f>ROUND(D33*F33,2)</x:f>
        <x:v>110</x:v>
      </x:c>
      <x:c r="H33" s="32" t="str">
        <x:v>Montagem</x:v>
      </x:c>
      <x:c r="I33" s="32" t="str">
        <x:v>Estimativa técnica por piso: R$ 60 para curvas/luvas/terminais/abraçadeiras e R$ 50 para ancoragens. Não é cotação de loja.</x:v>
      </x:c>
      <x:c r="J33" s="26" t="str">
        <x:f>'Orçamento'!N45</x:f>
        <x:v>A cotar</x:v>
      </x:c>
      <x:c r="K33" s="26" t="n">
        <x:f>'Orçamento'!H45</x:f>
        <x:v>0</x:v>
      </x:c>
    </x:row>
    <x:row r="34">
      <x:c r="B34" s="26"/>
      <x:c r="C34" s="26"/>
      <x:c r="F34" s="20"/>
      <x:c r="G34" s="20"/>
      <x:c r="I34" s="26"/>
      <x:c r="J34" s="26"/>
      <x:c r="K34" s="26"/>
    </x:row>
    <x:row r="35">
      <x:c r="A35" t="str">
        <x:v>Totais representam materiais do pavimento; quantidades de montagem preliminares e rateio da fibra a validar na vistoria.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8" hidden="0" customWidth="1"/>
    <x:col min="2" max="2" width="55" hidden="0" customWidth="1"/>
    <x:col min="3" max="3" width="47" hidden="0" customWidth="1"/>
    <x:col min="4" max="4" width="12" hidden="0" customWidth="1"/>
    <x:col min="5" max="5" width="12" hidden="0" customWidth="1"/>
    <x:col min="6" max="6" width="17" hidden="0" customWidth="1"/>
    <x:col min="7" max="7" width="17" hidden="0" customWidth="1"/>
    <x:col min="8" max="8" width="16" hidden="0" customWidth="1"/>
    <x:col min="9" max="9" width="50" hidden="0" customWidth="1"/>
    <x:col min="10" max="10" width="22" hidden="0" customWidth="1"/>
    <x:col min="11" max="11" width="60" hidden="0" customWidth="1"/>
  </x:cols>
  <x:sheetData>
    <x:row r="1">
      <x:c r="A1" s="31"/>
      <x:c r="B1" s="31"/>
      <x:c r="C1" s="31"/>
      <x:c r="D1" s="31"/>
      <x:c r="E1" s="31"/>
      <x:c r="F1" s="31"/>
      <x:c r="G1" s="31"/>
      <x:c r="H1" s="31"/>
      <x:c r="I1" s="31"/>
    </x:row>
    <x:row r="2">
      <x:c r="A2" s="31" t="str">
        <x:v>Orçamento de materiais | 2º andar</x:v>
      </x:c>
      <x:c r="B2" s="31"/>
      <x:c r="C2" s="31"/>
      <x:c r="D2" s="31"/>
      <x:c r="E2" s="31"/>
      <x:c r="F2" s="31"/>
      <x:c r="G2" s="31"/>
      <x:c r="H2" s="31"/>
      <x:c r="I2" s="31"/>
    </x:row>
    <x:row r="3">
      <x:c r="A3" s="31" t="str">
        <x:v>14 pontos de terminais + 1 AP(s); computadores não incluídos</x:v>
      </x:c>
      <x:c r="B3" s="31"/>
      <x:c r="C3" s="31"/>
      <x:c r="D3" s="31"/>
      <x:c r="E3" s="31"/>
      <x:c r="F3" s="31"/>
      <x:c r="G3" s="31"/>
      <x:c r="H3" s="31"/>
      <x:c r="I3" s="31"/>
    </x:row>
    <x:row r="4">
      <x:c r="A4" s="37"/>
      <x:c r="B4" s="37"/>
      <x:c r="C4" s="37"/>
      <x:c r="D4" s="37"/>
      <x:c r="E4" s="37"/>
      <x:c r="F4" s="37" t="str">
        <x:v>TOTAL DO ANDAR</x:v>
      </x:c>
      <x:c r="G4" s="38" t="n">
        <x:f>SUM('Orçamento'!L14:L45)</x:f>
        <x:v>9652.549999999997</x:v>
      </x:c>
      <x:c r="H4" s="37"/>
      <x:c r="I4" s="37"/>
    </x:row>
    <x:row r="5">
      <x:c r="A5" s="31"/>
      <x:c r="B5" s="31"/>
      <x:c r="C5" s="31"/>
      <x:c r="D5" s="31"/>
      <x:c r="E5" s="31"/>
      <x:c r="F5" s="31"/>
      <x:c r="G5" s="31"/>
      <x:c r="H5" s="31"/>
      <x:c r="I5" s="31"/>
    </x:row>
    <x:row r="6" ht="30" customHeight="1">
      <x:c r="A6" s="65" t="str">
        <x:v>ID</x:v>
      </x:c>
      <x:c r="B6" s="65" t="str">
        <x:v>Item / especificação</x:v>
      </x:c>
      <x:c r="C6" s="65" t="str">
        <x:v>Modelo / referência</x:v>
      </x:c>
      <x:c r="D6" s="65" t="str">
        <x:v>Qtd.</x:v>
      </x:c>
      <x:c r="E6" s="65" t="str">
        <x:v>Un.</x:v>
      </x:c>
      <x:c r="F6" s="65" t="str">
        <x:v>Preço unit. (R$)</x:v>
      </x:c>
      <x:c r="G6" s="65" t="str">
        <x:v>Subtotal (R$)</x:v>
      </x:c>
      <x:c r="H6" s="65" t="str">
        <x:v>Grupo</x:v>
      </x:c>
      <x:c r="I6" s="65" t="str">
        <x:v>Aplicação / premissa técnica</x:v>
      </x:c>
      <x:c r="J6" s="65" t="str">
        <x:v>Loja / fonte</x:v>
      </x:c>
      <x:c r="K6" s="65" t="str">
        <x:v>Fonte / URL</x:v>
      </x:c>
    </x:row>
    <x:row r="7" ht="65" customHeight="1">
      <x:c r="A7" s="32" t="n">
        <x:v>1</x:v>
      </x:c>
      <x:c r="B7" s="32" t="str">
        <x:v>Rack de parede 19" 12U Intelbras MRD 1257</x:v>
      </x:c>
      <x:c r="C7" s="32" t="str">
        <x:v>Intelbras MRD 1257</x:v>
      </x:c>
      <x:c r="D7" s="32" t="n">
        <x:v>1</x:v>
      </x:c>
      <x:c r="E7" s="32" t="str">
        <x:v>un</x:v>
      </x:c>
      <x:c r="F7" s="35" t="n">
        <x:f>'Orçamento'!E14/1</x:f>
        <x:v>1014.42</x:v>
      </x:c>
      <x:c r="G7" s="35" t="n">
        <x:f>ROUND(D7*F7,2)</x:f>
        <x:v>1014.42</x:v>
      </x:c>
      <x:c r="H7" s="32" t="str">
        <x:v>Equipamentos</x:v>
      </x:c>
      <x:c r="I7" s="32" t="str">
        <x:v>RACK-T / RACK-CPD / RACK-2 / RACK-3; servidores em torre fora do rack</x:v>
      </x:c>
      <x:c r="J7" s="26" t="str">
        <x:f>'Orçamento'!N14</x:f>
        <x:v>KaBuM!</x:v>
      </x:c>
      <x:c r="K7" s="26" t="str">
        <x:f>'Orçamento'!H14</x:f>
        <x:v>https://www.kabum.com.br/produto/303757/mini-rack-desmontavel-de-parede-12u-19-x-570mm-intelbras-mrd-1257</x:v>
      </x:c>
    </x:row>
    <x:row r="8" ht="65" customHeight="1">
      <x:c r="A8" s="32" t="n">
        <x:v>4</x:v>
      </x:c>
      <x:c r="B8" s="32" t="str">
        <x:v>Switch acesso 2º TP-Link Omada ES224G, 24xGbE Easy Managed</x:v>
      </x:c>
      <x:c r="C8" s="32" t="str">
        <x:v>TP-Link ES224G</x:v>
      </x:c>
      <x:c r="D8" s="32" t="n">
        <x:v>1</x:v>
      </x:c>
      <x:c r="E8" s="32" t="str">
        <x:v>un</x:v>
      </x:c>
      <x:c r="F8" s="35" t="n">
        <x:f>'Orçamento'!E17/1</x:f>
        <x:v>999.99</x:v>
      </x:c>
      <x:c r="G8" s="35" t="n">
        <x:f>ROUND(D8*F8,2)</x:f>
        <x:v>999.99</x:v>
      </x:c>
      <x:c r="H8" s="32" t="str">
        <x:v>Equipamentos</x:v>
      </x:c>
      <x:c r="I8" s="32" t="str">
        <x:v>SW-TMK-01: 14 terminais + uplink = 15; 9 portas livres; sem PoE/SFP</x:v>
      </x:c>
      <x:c r="J8" s="26" t="str">
        <x:f>'Orçamento'!N17</x:f>
        <x:v>Waz</x:v>
      </x:c>
      <x:c r="K8" s="26" t="str">
        <x:f>'Orçamento'!H17</x:f>
        <x:v>https://www.waz.com.br/switch-gerenciavel-24-portas-gigabit-tp-link-es224g-133595-html/p</x:v>
      </x:c>
    </x:row>
    <x:row r="9" ht="65" customHeight="1">
      <x:c r="A9" s="32" t="n">
        <x:v>5</x:v>
      </x:c>
      <x:c r="B9" s="32" t="str">
        <x:v>Switch distribuição/PoE TP-Link TL-SG2210MP, 8xPoE+ + 2 SFP, 150 W</x:v>
      </x:c>
      <x:c r="C9" s="32" t="str">
        <x:v>TP-Link TL-SG2210MP</x:v>
      </x:c>
      <x:c r="D9" s="32" t="n">
        <x:v>1</x:v>
      </x:c>
      <x:c r="E9" s="32" t="str">
        <x:v>un</x:v>
      </x:c>
      <x:c r="F9" s="35" t="n">
        <x:f>'Orçamento'!E18/1</x:f>
        <x:v>1044</x:v>
      </x:c>
      <x:c r="G9" s="35" t="n">
        <x:f>ROUND(D9*F9,2)</x:f>
        <x:v>1044</x:v>
      </x:c>
      <x:c r="H9" s="32" t="str">
        <x:v>Equipamentos</x:v>
      </x:c>
      <x:c r="I9" s="32" t="str">
        <x:v>SW-BB-T/1/2/3: backbone, uplink local e 5 APs; 2 SFP nos andares intermediários</x:v>
      </x:c>
      <x:c r="J9" s="26" t="str">
        <x:f>'Orçamento'!N18</x:f>
        <x:v>Magazine Luiza</x:v>
      </x:c>
      <x:c r="K9" s="26" t="str">
        <x:f>'Orçamento'!H18</x:f>
        <x:v>https://www.magazineluiza.com.br/switch-gigabit-tp-link-8-portas-2-sfp-sg2210mp-poe-150w/p/efbdb23fa4/in/swit/</x:v>
      </x:c>
    </x:row>
    <x:row r="10" ht="65" customHeight="1">
      <x:c r="A10" s="32" t="n">
        <x:v>7</x:v>
      </x:c>
      <x:c r="B10" s="32" t="str">
        <x:v>AP corporativo TP-Link EAP610 Wi-Fi 6, 802.3at</x:v>
      </x:c>
      <x:c r="C10" s="32" t="str">
        <x:v>TP-Link EAP610</x:v>
      </x:c>
      <x:c r="D10" s="32" t="n">
        <x:v>1</x:v>
      </x:c>
      <x:c r="E10" s="32" t="str">
        <x:v>un</x:v>
      </x:c>
      <x:c r="F10" s="35" t="n">
        <x:f>'Orçamento'!E20/1</x:f>
        <x:v>849.9</x:v>
      </x:c>
      <x:c r="G10" s="35" t="n">
        <x:f>ROUND(D10*F10,2)</x:f>
        <x:v>849.9</x:v>
      </x:c>
      <x:c r="H10" s="32" t="str">
        <x:v>Equipamentos</x:v>
      </x:c>
      <x:c r="I10" s="32" t="str">
        <x:v>AP-CORP-T, AP-1-01, AP-2-01, AP-3-01; um por pavimento</x:v>
      </x:c>
      <x:c r="J10" s="26" t="str">
        <x:f>'Orçamento'!N20</x:f>
        <x:v>KaBuM!</x:v>
      </x:c>
      <x:c r="K10" s="26" t="str">
        <x:f>'Orçamento'!H20</x:f>
        <x:v>https://www.kabum.com.br/produto/388006/access-point-tp-link-eap610-ax1800-1775mbps-omada-wi-fi-6-montavel-em-teto</x:v>
      </x:c>
    </x:row>
    <x:row r="11" ht="65" customHeight="1">
      <x:c r="A11" s="32" t="n">
        <x:v>11</x:v>
      </x:c>
      <x:c r="B11" s="32" t="str">
        <x:v>Nobreak Intelbras ATTIV 700 VA para rede de andar</x:v>
      </x:c>
      <x:c r="C11" s="32" t="str">
        <x:v>Intelbras ATTIV 700 VA / 220 V</x:v>
      </x:c>
      <x:c r="D11" s="32" t="n">
        <x:v>1</x:v>
      </x:c>
      <x:c r="E11" s="32" t="str">
        <x:v>un</x:v>
      </x:c>
      <x:c r="F11" s="35" t="n">
        <x:f>'Orçamento'!E24/1</x:f>
        <x:v>519.63</x:v>
      </x:c>
      <x:c r="G11" s="35" t="n">
        <x:f>ROUND(D11*F11,2)</x:f>
        <x:v>519.63</x:v>
      </x:c>
      <x:c r="H11" s="32" t="str">
        <x:v>Equipamentos</x:v>
      </x:c>
      <x:c r="I11" s="32" t="str">
        <x:v>Térreo, 2º e 3º: switches/roteador/APs; tensão e autonomia a validar</x:v>
      </x:c>
      <x:c r="J11" s="26" t="str">
        <x:f>'Orçamento'!N24</x:f>
        <x:v>Magazine Luiza</x:v>
      </x:c>
      <x:c r="K11" s="26" t="str">
        <x:f>'Orçamento'!H24</x:f>
        <x:v>https://www.magazineluiza.com.br/nobreak-attiv-700va-220v-intelbras/p/ebe051fccd/in/nbak/</x:v>
      </x:c>
    </x:row>
    <x:row r="12" ht="65" customHeight="1">
      <x:c r="A12" s="32" t="n">
        <x:v>13</x:v>
      </x:c>
      <x:c r="B12" s="32" t="str">
        <x:v>Cabo U/UTP Cat6 Furukawa SOHOPLUS, caixa 305 m</x:v>
      </x:c>
      <x:c r="C12" s="32" t="str">
        <x:v>Furukawa SOHOPLUS 23400199</x:v>
      </x:c>
      <x:c r="D12" s="32" t="n">
        <x:v>304</x:v>
      </x:c>
      <x:c r="E12" s="32" t="str">
        <x:v>m</x:v>
      </x:c>
      <x:c r="F12" s="66" t="n">
        <x:f>'Orçamento'!E26/305</x:f>
        <x:v>3.934098360655738</x:v>
      </x:c>
      <x:c r="G12" s="35" t="n">
        <x:f>ROUND(D12*F12,2)</x:f>
        <x:v>1195.97</x:v>
      </x:c>
      <x:c r="H12" s="32" t="str">
        <x:v>Cabeamento</x:v>
      </x:c>
      <x:c r="I12" s="32" t="str">
        <x:v>36 enlaces; planta: mínimo ortogonal 395,4 m (escala 1u=1m), +20%=474,5 m; 610 m comprados</x:v>
      </x:c>
      <x:c r="J12" s="26" t="str">
        <x:f>'Orçamento'!N26</x:f>
        <x:v>KaBuM!</x:v>
      </x:c>
      <x:c r="K12" s="26" t="str">
        <x:f>'Orçamento'!H26</x:f>
        <x:v>https://www.kabum.com.br/produto/109964/cabo-de-rede-cat-6-furukawa-sohoplus-305-metros-branco-23400199</x:v>
      </x:c>
    </x:row>
    <x:row r="13" ht="65" customHeight="1">
      <x:c r="A13" s="32" t="n">
        <x:v>14</x:v>
      </x:c>
      <x:c r="B13" s="32" t="str">
        <x:v>Cabo óptico monomodo 6FO antichamas, rolo 50 m</x:v>
      </x:c>
      <x:c r="C13" s="32" t="str">
        <x:v>Monomodo 6FO antichamas / 50 m (SKU não informado)</x:v>
      </x:c>
      <x:c r="D13" s="32" t="n">
        <x:v>25</x:v>
      </x:c>
      <x:c r="E13" s="32" t="str">
        <x:v>m</x:v>
      </x:c>
      <x:c r="F13" s="66" t="n">
        <x:f>'Orçamento'!E27/50</x:f>
        <x:v>9.0928</x:v>
      </x:c>
      <x:c r="G13" s="35" t="n">
        <x:f>ROUND(D13*F13,2)</x:f>
        <x:v>227.32</x:v>
      </x:c>
      <x:c r="H13" s="32" t="str">
        <x:v>Cabeamento</x:v>
      </x:c>
      <x:c r="I13" s="32" t="str">
        <x:v>3 trechos rack–rack; PDF mede shaft 16,33 m; 100 m comprados para percurso lateral</x:v>
      </x:c>
      <x:c r="J13" s="26" t="str">
        <x:f>'Orçamento'!N27</x:f>
        <x:v>CTMD</x:v>
      </x:c>
      <x:c r="K13" s="26" t="str">
        <x:f>'Orçamento'!H27</x:f>
        <x:v>https://loja.ctmd.eng.br/fibra-optica/9836-cabo-fibra-optica-monomodo-6fo-antichamas-int-ext-p-calhas-50m-.html</x:v>
      </x:c>
    </x:row>
    <x:row r="14" ht="65" customHeight="1">
      <x:c r="A14" s="32" t="n">
        <x:v>15</x:v>
      </x:c>
      <x:c r="B14" s="32" t="str">
        <x:v>Patch panel Cat6 Furukawa 24 portas</x:v>
      </x:c>
      <x:c r="C14" s="32" t="str">
        <x:v>Furukawa SOHOPLUS 35050439</x:v>
      </x:c>
      <x:c r="D14" s="32" t="n">
        <x:v>1</x:v>
      </x:c>
      <x:c r="E14" s="32" t="str">
        <x:v>un</x:v>
      </x:c>
      <x:c r="F14" s="35" t="n">
        <x:f>'Orçamento'!E28/1</x:f>
        <x:v>579.9</x:v>
      </x:c>
      <x:c r="G14" s="35" t="n">
        <x:f>ROUND(D14*F14,2)</x:f>
        <x:v>579.9</x:v>
      </x:c>
      <x:c r="H14" s="32" t="str">
        <x:v>Terminações</x:v>
      </x:c>
      <x:c r="I14" s="32" t="str">
        <x:v>1 por rack: térreo 3, 1º 7, 2º 15, 3º 11 terminações de área</x:v>
      </x:c>
      <x:c r="J14" s="26" t="str">
        <x:f>'Orçamento'!N28</x:f>
        <x:v>KaBuM!</x:v>
      </x:c>
      <x:c r="K14" s="26" t="str">
        <x:f>'Orçamento'!H28</x:f>
        <x:v>https://www.kabum.com.br/produto/474007/patch-panel-furukawa-t568a-b-soho-plus-cat-6-24-portas-35050439</x:v>
      </x:c>
    </x:row>
    <x:row r="15" ht="65" customHeight="1">
      <x:c r="A15" s="32" t="n">
        <x:v>16</x:v>
      </x:c>
      <x:c r="B15" s="32" t="str">
        <x:v>Keystone fêmea RJ45 Cat6</x:v>
      </x:c>
      <x:c r="C15" s="32" t="str">
        <x:v>RJ45 fêmea UTP Cat6 (SKU não informado)</x:v>
      </x:c>
      <x:c r="D15" s="32" t="n">
        <x:v>15</x:v>
      </x:c>
      <x:c r="E15" s="32" t="str">
        <x:v>un</x:v>
      </x:c>
      <x:c r="F15" s="35" t="n">
        <x:f>'Orçamento'!E29/1</x:f>
        <x:v>23.35</x:v>
      </x:c>
      <x:c r="G15" s="35" t="n">
        <x:f>ROUND(D15*F15,2)</x:f>
        <x:v>350.25</x:v>
      </x:c>
      <x:c r="H15" s="32" t="str">
        <x:v>Terminações</x:v>
      </x:c>
      <x:c r="I15" s="32" t="str">
        <x:v>31 pontos de terminais + 5 APs; servidores ligados localmente por patch cord</x:v>
      </x:c>
      <x:c r="J15" s="26" t="str">
        <x:f>'Orçamento'!N29</x:f>
        <x:v>KaBuM!</x:v>
      </x:c>
      <x:c r="K15" s="26" t="str">
        <x:f>'Orçamento'!H29</x:f>
        <x:v>https://www.kabum.com.br/produto/449852/conector-rj45-femea-utp-branco-cat-6</x:v>
      </x:c>
    </x:row>
    <x:row r="16" ht="65" customHeight="1">
      <x:c r="A16" s="32" t="n">
        <x:v>17</x:v>
      </x:c>
      <x:c r="B16" s="32" t="str">
        <x:v>Caixa de sobrepor 2 saídas para ponto de mesa</x:v>
      </x:c>
      <x:c r="C16" s="32" t="str">
        <x:v>Central Cabos ref. 3402</x:v>
      </x:c>
      <x:c r="D16" s="32" t="n">
        <x:v>14</x:v>
      </x:c>
      <x:c r="E16" s="32" t="str">
        <x:v>un</x:v>
      </x:c>
      <x:c r="F16" s="35" t="n">
        <x:f>'Orçamento'!E30/1</x:f>
        <x:v>5.22</x:v>
      </x:c>
      <x:c r="G16" s="35" t="n">
        <x:f>ROUND(D16*F16,2)</x:f>
        <x:v>73.08</x:v>
      </x:c>
      <x:c r="H16" s="32" t="str">
        <x:v>Terminações</x:v>
      </x:c>
      <x:c r="I16" s="32" t="str">
        <x:v>1 em cada estação cabeada; 5 APs usam caixa de teto própria</x:v>
      </x:c>
      <x:c r="J16" s="26" t="str">
        <x:f>'Orçamento'!N30</x:f>
        <x:v>Central Cabos</x:v>
      </x:c>
      <x:c r="K16" s="26" t="str">
        <x:f>'Orçamento'!H30</x:f>
        <x:v>https://www.centralcabos.com.br/caixa-sobrepor-2-saidas---3402/p</x:v>
      </x:c>
    </x:row>
    <x:row r="17" ht="65" customHeight="1">
      <x:c r="A17" s="32" t="n">
        <x:v>18</x:v>
      </x:c>
      <x:c r="B17" s="32" t="str">
        <x:v>Caixa octogonal PVC 4x4 Tramontina 57500/005 para AP</x:v>
      </x:c>
      <x:c r="C17" s="32" t="str">
        <x:v>Tramontina 57500/005</x:v>
      </x:c>
      <x:c r="D17" s="32" t="n">
        <x:v>1</x:v>
      </x:c>
      <x:c r="E17" s="32" t="str">
        <x:v>un</x:v>
      </x:c>
      <x:c r="F17" s="35" t="n">
        <x:f>'Orçamento'!E31/1</x:f>
        <x:v>10.2</x:v>
      </x:c>
      <x:c r="G17" s="35" t="n">
        <x:f>ROUND(D17*F17,2)</x:f>
        <x:v>10.2</x:v>
      </x:c>
      <x:c r="H17" s="32" t="str">
        <x:v>Terminações</x:v>
      </x:c>
      <x:c r="I17" s="32" t="str">
        <x:v>1 por AP para acomodar terminação, sujeito ao tipo de forro</x:v>
      </x:c>
      <x:c r="J17" s="26" t="str">
        <x:f>'Orçamento'!N31</x:f>
        <x:v>Magazine Luiza</x:v>
      </x:c>
      <x:c r="K17" s="26" t="str">
        <x:f>'Orçamento'!H31</x:f>
        <x:v>https://www.magazineluiza.com.br/caixa-de-pvc-octogonal-4x4-amarela-c-fundo-movel-57500005-tramontina-tramontina-eletrik/p/hggjb81446/cj/cxpe/</x:v>
      </x:c>
    </x:row>
    <x:row r="18" ht="65" customHeight="1">
      <x:c r="A18" s="32" t="n">
        <x:v>19</x:v>
      </x:c>
      <x:c r="B18" s="32" t="str">
        <x:v>Patch cord X-cell Cat6 UTP 2 m</x:v>
      </x:c>
      <x:c r="C18" s="32" t="str">
        <x:v>X-cell Cat6 UTP 2 m (SKU não informado)</x:v>
      </x:c>
      <x:c r="D18" s="32" t="n">
        <x:v>31</x:v>
      </x:c>
      <x:c r="E18" s="32" t="str">
        <x:v>un</x:v>
      </x:c>
      <x:c r="F18" s="35" t="n">
        <x:f>'Orçamento'!E32/1</x:f>
        <x:v>14.9</x:v>
      </x:c>
      <x:c r="G18" s="35" t="n">
        <x:f>ROUND(D18*F18,2)</x:f>
        <x:v>461.9</x:v>
      </x:c>
      <x:c r="H18" s="32" t="str">
        <x:v>Terminações</x:v>
      </x:c>
      <x:c r="I18" s="32" t="str">
        <x:v>36 no rack + 36 nas pontas + 2 servidores + 4 interswitch + 1 gateway + 1 reserva</x:v>
      </x:c>
      <x:c r="J18" s="26" t="str">
        <x:f>'Orçamento'!N32</x:f>
        <x:v>KaBuM!</x:v>
      </x:c>
      <x:c r="K18" s="26" t="str">
        <x:f>'Orçamento'!H32</x:f>
        <x:v>https://www.kabum.com.br/produto/409945/cabo-de-rede-cat-6-2-metros-2m-patch-cord-rj45-lan-internet</x:v>
      </x:c>
    </x:row>
    <x:row r="19" ht="65" customHeight="1">
      <x:c r="A19" s="32" t="n">
        <x:v>20</x:v>
      </x:c>
      <x:c r="B19" s="32" t="str">
        <x:v>PDU Max Eletron 19", 8 tomadas 10 A</x:v>
      </x:c>
      <x:c r="C19" s="32" t="str">
        <x:v>Max Eletron 19" / 8 tomadas 10 A (SKU não informado)</x:v>
      </x:c>
      <x:c r="D19" s="32" t="n">
        <x:v>1</x:v>
      </x:c>
      <x:c r="E19" s="32" t="str">
        <x:v>un</x:v>
      </x:c>
      <x:c r="F19" s="35" t="n">
        <x:f>'Orçamento'!E33/1</x:f>
        <x:v>94.9</x:v>
      </x:c>
      <x:c r="G19" s="35" t="n">
        <x:f>ROUND(D19*F19,2)</x:f>
        <x:v>94.9</x:v>
      </x:c>
      <x:c r="H19" s="32" t="str">
        <x:v>Terminações</x:v>
      </x:c>
      <x:c r="I19" s="32" t="str">
        <x:v>1 PDU por rack, alimentada por nobreak dimensionado</x:v>
      </x:c>
      <x:c r="J19" s="26" t="str">
        <x:f>'Orçamento'!N33</x:f>
        <x:v>KaBuM!</x:v>
      </x:c>
      <x:c r="K19" s="26" t="str">
        <x:f>'Orçamento'!H33</x:f>
        <x:v>https://www.kabum.com.br/produto/577263/calha-regua-p-rack-c-8-tomadas-10a-19-preto-max-eletron</x:v>
      </x:c>
    </x:row>
    <x:row r="20" ht="65" customHeight="1">
      <x:c r="A20" s="32" t="n">
        <x:v>21</x:v>
      </x:c>
      <x:c r="B20" s="32" t="str">
        <x:v>Mini DIO 6FO monomodo LC/UPC com pigtails</x:v>
      </x:c>
      <x:c r="C20" s="32" t="str">
        <x:v>Mini-DIO-6FO LC/UPC (referência do fornecedor)</x:v>
      </x:c>
      <x:c r="D20" s="32" t="n">
        <x:v>1</x:v>
      </x:c>
      <x:c r="E20" s="32" t="str">
        <x:v>un</x:v>
      </x:c>
      <x:c r="F20" s="35" t="n">
        <x:f>'Orçamento'!E34/1</x:f>
        <x:v>351.12</x:v>
      </x:c>
      <x:c r="G20" s="35" t="n">
        <x:f>ROUND(D20*F20,2)</x:f>
        <x:v>351.12</x:v>
      </x:c>
      <x:c r="H20" s="32" t="str">
        <x:v>Terminações</x:v>
      </x:c>
      <x:c r="I20" s="32" t="str">
        <x:v>1 por rack; 2 fibras por enlace; 4 fibras ativas nos andares 1 e 2</x:v>
      </x:c>
      <x:c r="J20" s="26" t="str">
        <x:f>'Orçamento'!N34</x:f>
        <x:v>Aztech</x:v>
      </x:c>
      <x:c r="K20" s="26" t="str">
        <x:f>'Orçamento'!H34</x:f>
        <x:v>https://www.aztech.com.br/mini-dio-6fo-de-aco-com-conectores-pigtail-e-acopladores-lcupc-monomodo</x:v>
      </x:c>
    </x:row>
    <x:row r="21" ht="65" customHeight="1">
      <x:c r="A21" s="32" t="n">
        <x:v>22</x:v>
      </x:c>
      <x:c r="B21" s="32" t="str">
        <x:v>Módulo SFP TP-Link TL-SM311LS monomodo LC</x:v>
      </x:c>
      <x:c r="C21" s="32" t="str">
        <x:v>TP-Link TL-SM311LS</x:v>
      </x:c>
      <x:c r="D21" s="32" t="n">
        <x:v>2</x:v>
      </x:c>
      <x:c r="E21" s="32" t="str">
        <x:v>un</x:v>
      </x:c>
      <x:c r="F21" s="35" t="n">
        <x:f>'Orçamento'!E35/1</x:f>
        <x:v>103.55</x:v>
      </x:c>
      <x:c r="G21" s="35" t="n">
        <x:f>ROUND(D21*F21,2)</x:f>
        <x:v>207.1</x:v>
      </x:c>
      <x:c r="H21" s="32" t="str">
        <x:v>Terminações</x:v>
      </x:c>
      <x:c r="I21" s="32" t="str">
        <x:v>3 enlaces ópticos adjacentes × 2 pontas; confirmar compatibilidade por revisão</x:v>
      </x:c>
      <x:c r="J21" s="26" t="str">
        <x:f>'Orçamento'!N35</x:f>
        <x:v>Central Cabos</x:v>
      </x:c>
      <x:c r="K21" s="26" t="str">
        <x:f>'Orçamento'!H35</x:f>
        <x:v>https://www.centralcabos.com.br/modulo-sfp-1-25g-duplex-lc-monomodo-1000base-lx-1310nm-20km---tp-lin---tl-sm311ls/p</x:v>
      </x:c>
    </x:row>
    <x:row r="22" ht="65" customHeight="1">
      <x:c r="A22" s="32" t="n">
        <x:v>23</x:v>
      </x:c>
      <x:c r="B22" s="32" t="str">
        <x:v>Cordão óptico duplex monomodo LC/UPC 2 m</x:v>
      </x:c>
      <x:c r="C22" s="32" t="str">
        <x:v>SM 9/125 LC/UPC-LC/UPC 2 m (SKU não informado)</x:v>
      </x:c>
      <x:c r="D22" s="32" t="n">
        <x:v>2</x:v>
      </x:c>
      <x:c r="E22" s="32" t="str">
        <x:v>un</x:v>
      </x:c>
      <x:c r="F22" s="35" t="n">
        <x:f>'Orçamento'!E36/1</x:f>
        <x:v>73.11</x:v>
      </x:c>
      <x:c r="G22" s="35" t="n">
        <x:f>ROUND(D22*F22,2)</x:f>
        <x:v>146.22</x:v>
      </x:c>
      <x:c r="H22" s="32" t="str">
        <x:v>Terminações</x:v>
      </x:c>
      <x:c r="I22" s="32" t="str">
        <x:v>1 DIO–SFP por transceptor; LC/Uterminal nas duas pontas</x:v>
      </x:c>
      <x:c r="J22" s="26" t="str">
        <x:f>'Orçamento'!N36</x:f>
        <x:v>Instrufiber</x:v>
      </x:c>
      <x:c r="K22" s="26" t="str">
        <x:f>'Orçamento'!H36</x:f>
        <x:v>https://loja1.instrufiber.com.br/cordao-ptico-duplex-sm-9-125-lc-pc-lc-pc-2?tag=cord%C3%A3o+monomodo+ST</x:v>
      </x:c>
    </x:row>
    <x:row r="23" ht="65" customHeight="1">
      <x:c r="A23" s="32" t="n">
        <x:v>24</x:v>
      </x:c>
      <x:c r="B23" s="32" t="str">
        <x:v>Guia horizontal Caesa 1U x 55 mm</x:v>
      </x:c>
      <x:c r="C23" s="32" t="str">
        <x:v>Caesa 1U x 55 mm (SKU não informado)</x:v>
      </x:c>
      <x:c r="D23" s="32" t="n">
        <x:v>1</x:v>
      </x:c>
      <x:c r="E23" s="32" t="str">
        <x:v>un</x:v>
      </x:c>
      <x:c r="F23" s="35" t="n">
        <x:f>'Orçamento'!E37/1</x:f>
        <x:v>36</x:v>
      </x:c>
      <x:c r="G23" s="35" t="n">
        <x:f>ROUND(D23*F23,2)</x:f>
        <x:v>36</x:v>
      </x:c>
      <x:c r="H23" s="32" t="str">
        <x:v>Terminações</x:v>
      </x:c>
      <x:c r="I23" s="32" t="str">
        <x:v>1 por rack entre patch panel e switches; separar cobre/óptico</x:v>
      </x:c>
      <x:c r="J23" s="26" t="str">
        <x:f>'Orçamento'!N37</x:f>
        <x:v>KaBuM!</x:v>
      </x:c>
      <x:c r="K23" s="26" t="str">
        <x:f>'Orçamento'!H37</x:f>
        <x:v>https://www.kabum.com.br/produto/533002/guia-de-cabo-caesa-1ux55mm-preto</x:v>
      </x:c>
    </x:row>
    <x:row r="24" ht="65" customHeight="1">
      <x:c r="A24" s="32" t="n">
        <x:v>25</x:v>
      </x:c>
      <x:c r="B24" s="32" t="str">
        <x:v>Canaleta fechada PVC com tampa 50 x 50 mm, barra 2 m</x:v>
      </x:c>
      <x:c r="C24" s="32" t="str">
        <x:v>Enerbras 5050-E</x:v>
      </x:c>
      <x:c r="D24" s="32" t="n">
        <x:v>14</x:v>
      </x:c>
      <x:c r="E24" s="32" t="str">
        <x:v>barra</x:v>
      </x:c>
      <x:c r="F24" s="35" t="n">
        <x:f>'Orçamento'!E38/1</x:f>
        <x:v>82.82</x:v>
      </x:c>
      <x:c r="G24" s="35" t="n">
        <x:f>ROUND(D24*F24,2)</x:f>
        <x:v>1159.48</x:v>
      </x:c>
      <x:c r="H24" s="32" t="str">
        <x:v>Montagem</x:v>
      </x:c>
      <x:c r="I24" s="32" t="str">
        <x:v>Estimativa: 16 / 24 / 28 / 28 m de caminhos compartilhados. Seção e quantidade a validar na vistoria.</x:v>
      </x:c>
      <x:c r="J24" s="26" t="str">
        <x:f>'Orçamento'!N38</x:f>
        <x:v>Eletriza</x:v>
      </x:c>
      <x:c r="K24" s="26" t="str">
        <x:f>'Orçamento'!H38</x:f>
        <x:v>https://eletriza.com.br/materiais-eletricos/canaletas</x:v>
      </x:c>
    </x:row>
    <x:row r="25" ht="65" customHeight="1">
      <x:c r="A25" s="32" t="n">
        <x:v>26</x:v>
      </x:c>
      <x:c r="B25" s="32" t="str">
        <x:v>Eletroduto rígido soldável PVC 32 mm, barra 3 m</x:v>
      </x:c>
      <x:c r="C25" s="32" t="str">
        <x:v>Tigre 32 mm / loja ref. 92495</x:v>
      </x:c>
      <x:c r="D25" s="32" t="n">
        <x:v>2</x:v>
      </x:c>
      <x:c r="E25" s="32" t="str">
        <x:v>barra</x:v>
      </x:c>
      <x:c r="F25" s="35" t="n">
        <x:f>'Orçamento'!E39/1</x:f>
        <x:v>27</x:v>
      </x:c>
      <x:c r="G25" s="35" t="n">
        <x:f>ROUND(D25*F25,2)</x:f>
        <x:v>54</x:v>
      </x:c>
      <x:c r="H25" s="32" t="str">
        <x:v>Montagem</x:v>
      </x:c>
      <x:c r="I25" s="32" t="str">
        <x:v>Estimativa: 24 m para shaft e transições; 6 m por piso como rateio financeiro. Não compartilhar com energia.</x:v>
      </x:c>
      <x:c r="J25" s="26" t="str">
        <x:f>'Orçamento'!N39</x:f>
        <x:v>Roque</x:v>
      </x:c>
      <x:c r="K25" s="26" t="str">
        <x:f>'Orçamento'!H39</x:f>
        <x:v>https://loja.roquebr.com/eletroduto-rigido-sold-32mm-3m---tigre/p</x:v>
      </x:c>
    </x:row>
    <x:row r="26" ht="65" customHeight="1">
      <x:c r="A26" s="32" t="n">
        <x:v>27</x:v>
      </x:c>
      <x:c r="B26" s="32" t="str">
        <x:v>Bandeja fixa rack 19 polegadas, 1U x 250 mm</x:v>
      </x:c>
      <x:c r="C26" s="32" t="str">
        <x:v>Nilko NK030160-C250</x:v>
      </x:c>
      <x:c r="D26" s="32" t="n">
        <x:v>1</x:v>
      </x:c>
      <x:c r="E26" s="32" t="str">
        <x:v>un</x:v>
      </x:c>
      <x:c r="F26" s="35" t="n">
        <x:f>'Orçamento'!E40/1</x:f>
        <x:v>60.16</x:v>
      </x:c>
      <x:c r="G26" s="35" t="n">
        <x:f>ROUND(D26*F26,2)</x:f>
        <x:v>60.16</x:v>
      </x:c>
      <x:c r="H26" s="32" t="str">
        <x:v>Montagem</x:v>
      </x:c>
      <x:c r="I26" s="32" t="str">
        <x:v>Uma por rack para dispositivos compactos; carga, profundidade e fixação a conferir. Loja informa prazo de fabricação.</x:v>
      </x:c>
      <x:c r="J26" s="26" t="str">
        <x:f>'Orçamento'!N40</x:f>
        <x:v>Nilko</x:v>
      </x:c>
      <x:c r="K26" s="26" t="str">
        <x:f>'Orçamento'!H40</x:f>
        <x:v>https://loja.nilko.com.br/informatica/acessorios/bandeja-fixa-para-rack-19-x-1u-250mm</x:v>
      </x:c>
    </x:row>
    <x:row r="27" ht="65" customHeight="1">
      <x:c r="A27" s="32" t="n">
        <x:v>28</x:v>
      </x:c>
      <x:c r="B27" s="32" t="str">
        <x:v>Conjunto porca gaiola e parafuso para rack 19 polegadas</x:v>
      </x:c>
      <x:c r="C27" s="32" t="str">
        <x:v>Central Cabos ref. 5528</x:v>
      </x:c>
      <x:c r="D27" s="32" t="n">
        <x:v>24</x:v>
      </x:c>
      <x:c r="E27" s="32" t="str">
        <x:v>conj.</x:v>
      </x:c>
      <x:c r="F27" s="35" t="n">
        <x:f>'Orçamento'!E41/1</x:f>
        <x:v>0.86</x:v>
      </x:c>
      <x:c r="G27" s="35" t="n">
        <x:f>ROUND(D27*F27,2)</x:f>
        <x:v>20.64</x:v>
      </x:c>
      <x:c r="H27" s="32" t="str">
        <x:v>Montagem</x:v>
      </x:c>
      <x:c r="I27" s="32" t="str">
        <x:v>24 conjuntos por rack, incluindo reserva; rosca compatível com trilhos e acessórios a confirmar.</x:v>
      </x:c>
      <x:c r="J27" s="26" t="str">
        <x:f>'Orçamento'!N41</x:f>
        <x:v>Central Cabos</x:v>
      </x:c>
      <x:c r="K27" s="26" t="str">
        <x:f>'Orçamento'!H41</x:f>
        <x:v>https://www.centralcabos.com.br/kit-porca-gaiola-com-parafuso/p</x:v>
      </x:c>
    </x:row>
    <x:row r="28" ht="65" customHeight="1">
      <x:c r="A28" s="32" t="n">
        <x:v>29</x:v>
      </x:c>
      <x:c r="B28" s="32" t="str">
        <x:v>Fita de velcro reutilizável, rolo 5 m</x:v>
      </x:c>
      <x:c r="C28" s="32" t="str">
        <x:v>Costa Brava IDORGCABOSVELCROPRETO</x:v>
      </x:c>
      <x:c r="D28" s="32" t="n">
        <x:v>1</x:v>
      </x:c>
      <x:c r="E28" s="32" t="str">
        <x:v>rolo</x:v>
      </x:c>
      <x:c r="F28" s="35" t="n">
        <x:f>'Orçamento'!E42/1</x:f>
        <x:v>24.99</x:v>
      </x:c>
      <x:c r="G28" s="35" t="n">
        <x:f>ROUND(D28*F28,2)</x:f>
        <x:v>24.99</x:v>
      </x:c>
      <x:c r="H28" s="32" t="str">
        <x:v>Montagem</x:v>
      </x:c>
      <x:c r="I28" s="32" t="str">
        <x:v>Um rolo por piso; feixes sem compressão dos cabos. Preço de referência: anúncio indica esgotado, recotar equivalente.</x:v>
      </x:c>
      <x:c r="J28" s="26" t="str">
        <x:f>'Orçamento'!N42</x:f>
        <x:v>Costa Brava Home</x:v>
      </x:c>
      <x:c r="K28" s="26" t="str">
        <x:f>'Orçamento'!H42</x:f>
        <x:v>https://www.costabravahome.com.br/produtos/fita-velcro-organizadora-de-cabos-5m-p-usb-carregador-e-fios-em-geral/</x:v>
      </x:c>
    </x:row>
    <x:row r="29" ht="65" customHeight="1">
      <x:c r="A29" s="32" t="n">
        <x:v>30</x:v>
      </x:c>
      <x:c r="B29" s="32" t="str">
        <x:v>Kit de buchas e parafusos, pacote 100 conjuntos</x:v>
      </x:c>
      <x:c r="C29" s="32" t="str">
        <x:v>Rio Reveste kit c/100 (dimensão a confirmar)</x:v>
      </x:c>
      <x:c r="D29" s="32" t="n">
        <x:v>1</x:v>
      </x:c>
      <x:c r="E29" s="32" t="str">
        <x:v>pac.</x:v>
      </x:c>
      <x:c r="F29" s="35" t="n">
        <x:f>'Orçamento'!E43/1</x:f>
        <x:v>40</x:v>
      </x:c>
      <x:c r="G29" s="35" t="n">
        <x:f>ROUND(D29*F29,2)</x:f>
        <x:v>40</x:v>
      </x:c>
      <x:c r="H29" s="32" t="str">
        <x:v>Montagem</x:v>
      </x:c>
      <x:c r="I29" s="32" t="str">
        <x:v>Um pacote por piso para fixações leves de canaletas/caixas; definir dimensão conforme parede. Não usar como ancoragem de rack.</x:v>
      </x:c>
      <x:c r="J29" s="26" t="str">
        <x:f>'Orçamento'!N43</x:f>
        <x:v>Rio Reveste</x:v>
      </x:c>
      <x:c r="K29" s="26" t="str">
        <x:f>'Orçamento'!H43</x:f>
        <x:v>https://www.r2rioreveste.com.br/product-page/kit-parafuso-e-bucha-c-100</x:v>
      </x:c>
    </x:row>
    <x:row r="30" ht="65" customHeight="1">
      <x:c r="A30" s="32" t="n">
        <x:v>31</x:v>
      </x:c>
      <x:c r="B30" s="32" t="str">
        <x:v>Etiquetas adesivas de identificação, números 1 a 100</x:v>
      </x:c>
      <x:c r="C30" s="32" t="str">
        <x:v>Micro Oficina vinil / 1 a 100</x:v>
      </x:c>
      <x:c r="D30" s="32" t="n">
        <x:v>50</x:v>
      </x:c>
      <x:c r="E30" s="32" t="str">
        <x:v>etiqueta</x:v>
      </x:c>
      <x:c r="F30" s="66" t="n">
        <x:f>'Orçamento'!E44/100</x:f>
        <x:v>0.4275</x:v>
      </x:c>
      <x:c r="G30" s="35" t="n">
        <x:f>ROUND(D30*F30,2)</x:f>
        <x:v>21.38</x:v>
      </x:c>
      <x:c r="H30" s="32" t="str">
        <x:v>Montagem</x:v>
      </x:c>
      <x:c r="I30" s="32" t="str">
        <x:v>200 etiquetas: terminações, portas e reserva; rateio de 50 por piso. Acrescentar identificação do andar ao número.</x:v>
      </x:c>
      <x:c r="J30" s="26" t="str">
        <x:f>'Orçamento'!N44</x:f>
        <x:v>Magazine Luiza</x:v>
      </x:c>
      <x:c r="K30" s="26" t="str">
        <x:f>'Orçamento'!H44</x:f>
        <x:v>https://www.magazineluiza.com.br/adesivo-etiqueta-identificador-fios-e-cabos-numerado-1-a-100-micro-oficina/p/ed3a2a8gg3/pa/etpi/</x:v>
      </x:c>
    </x:row>
    <x:row r="31" ht="65" customHeight="1">
      <x:c r="A31" s="32" t="n">
        <x:v>32</x:v>
      </x:c>
      <x:c r="B31" s="32" t="str">
        <x:v>Provisão: conexões, suportes de eletroduto e ancoragens dos racks</x:v>
      </x:c>
      <x:c r="C31" s="32" t="str">
        <x:v>Lote técnico por piso; especificação após vistoria</x:v>
      </x:c>
      <x:c r="D31" s="32" t="n">
        <x:v>1</x:v>
      </x:c>
      <x:c r="E31" s="32" t="str">
        <x:v>lote</x:v>
      </x:c>
      <x:c r="F31" s="35" t="n">
        <x:f>'Orçamento'!E45/1</x:f>
        <x:v>110</x:v>
      </x:c>
      <x:c r="G31" s="35" t="n">
        <x:f>ROUND(D31*F31,2)</x:f>
        <x:v>110</x:v>
      </x:c>
      <x:c r="H31" s="32" t="str">
        <x:v>Montagem</x:v>
      </x:c>
      <x:c r="I31" s="32" t="str">
        <x:v>Estimativa técnica por piso: R$ 60 para curvas/luvas/terminais/abraçadeiras e R$ 50 para ancoragens. Não é cotação de loja.</x:v>
      </x:c>
      <x:c r="J31" s="26" t="str">
        <x:f>'Orçamento'!N45</x:f>
        <x:v>A cotar</x:v>
      </x:c>
      <x:c r="K31" s="26" t="n">
        <x:f>'Orçamento'!H45</x:f>
        <x:v>0</x:v>
      </x:c>
    </x:row>
    <x:row r="32">
      <x:c r="B32" s="26"/>
      <x:c r="C32" s="26"/>
      <x:c r="F32" s="20"/>
      <x:c r="G32" s="20"/>
      <x:c r="I32" s="26"/>
      <x:c r="J32" s="26"/>
      <x:c r="K32" s="26"/>
    </x:row>
    <x:row r="33">
      <x:c r="A33" t="str">
        <x:v>Totais representam materiais do pavimento; quantidades de montagem preliminares e rateio da fibra a validar na vistoria.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8" hidden="0" customWidth="1"/>
    <x:col min="2" max="2" width="55" hidden="0" customWidth="1"/>
    <x:col min="3" max="3" width="47" hidden="0" customWidth="1"/>
    <x:col min="4" max="4" width="12" hidden="0" customWidth="1"/>
    <x:col min="5" max="5" width="12" hidden="0" customWidth="1"/>
    <x:col min="6" max="6" width="17" hidden="0" customWidth="1"/>
    <x:col min="7" max="7" width="17" hidden="0" customWidth="1"/>
    <x:col min="8" max="8" width="16" hidden="0" customWidth="1"/>
    <x:col min="9" max="9" width="50" hidden="0" customWidth="1"/>
    <x:col min="10" max="10" width="22" hidden="0" customWidth="1"/>
    <x:col min="11" max="11" width="60" hidden="0" customWidth="1"/>
  </x:cols>
  <x:sheetData>
    <x:row r="1">
      <x:c r="A1" s="31"/>
      <x:c r="B1" s="31"/>
      <x:c r="C1" s="31"/>
      <x:c r="D1" s="31"/>
      <x:c r="E1" s="31"/>
      <x:c r="F1" s="31"/>
      <x:c r="G1" s="31"/>
      <x:c r="H1" s="31"/>
      <x:c r="I1" s="31"/>
    </x:row>
    <x:row r="2">
      <x:c r="A2" s="31" t="str">
        <x:v>Orçamento de materiais | 3º andar</x:v>
      </x:c>
      <x:c r="B2" s="31"/>
      <x:c r="C2" s="31"/>
      <x:c r="D2" s="31"/>
      <x:c r="E2" s="31"/>
      <x:c r="F2" s="31"/>
      <x:c r="G2" s="31"/>
      <x:c r="H2" s="31"/>
      <x:c r="I2" s="31"/>
    </x:row>
    <x:row r="3">
      <x:c r="A3" s="31" t="str">
        <x:v>10 pontos de terminais + 1 AP(s); computadores não incluídos</x:v>
      </x:c>
      <x:c r="B3" s="31"/>
      <x:c r="C3" s="31"/>
      <x:c r="D3" s="31"/>
      <x:c r="E3" s="31"/>
      <x:c r="F3" s="31"/>
      <x:c r="G3" s="31"/>
      <x:c r="H3" s="31"/>
      <x:c r="I3" s="31"/>
    </x:row>
    <x:row r="4">
      <x:c r="A4" s="37"/>
      <x:c r="B4" s="37"/>
      <x:c r="C4" s="37"/>
      <x:c r="D4" s="37"/>
      <x:c r="E4" s="37"/>
      <x:c r="F4" s="37" t="str">
        <x:v>TOTAL DO ANDAR</x:v>
      </x:c>
      <x:c r="G4" s="38" t="n">
        <x:f>SUM('Orçamento'!M14:M45)</x:f>
        <x:v>8072.879999999997</x:v>
      </x:c>
      <x:c r="H4" s="37"/>
      <x:c r="I4" s="37"/>
    </x:row>
    <x:row r="5">
      <x:c r="A5" s="31"/>
      <x:c r="B5" s="31"/>
      <x:c r="C5" s="31"/>
      <x:c r="D5" s="31"/>
      <x:c r="E5" s="31"/>
      <x:c r="F5" s="31"/>
      <x:c r="G5" s="31"/>
      <x:c r="H5" s="31"/>
      <x:c r="I5" s="31"/>
    </x:row>
    <x:row r="6" ht="30" customHeight="1">
      <x:c r="A6" s="65" t="str">
        <x:v>ID</x:v>
      </x:c>
      <x:c r="B6" s="65" t="str">
        <x:v>Item / especificação</x:v>
      </x:c>
      <x:c r="C6" s="65" t="str">
        <x:v>Modelo / referência</x:v>
      </x:c>
      <x:c r="D6" s="65" t="str">
        <x:v>Qtd.</x:v>
      </x:c>
      <x:c r="E6" s="65" t="str">
        <x:v>Un.</x:v>
      </x:c>
      <x:c r="F6" s="65" t="str">
        <x:v>Preço unit. (R$)</x:v>
      </x:c>
      <x:c r="G6" s="65" t="str">
        <x:v>Subtotal (R$)</x:v>
      </x:c>
      <x:c r="H6" s="65" t="str">
        <x:v>Grupo</x:v>
      </x:c>
      <x:c r="I6" s="65" t="str">
        <x:v>Aplicação / premissa técnica</x:v>
      </x:c>
      <x:c r="J6" s="65" t="str">
        <x:v>Loja / fonte</x:v>
      </x:c>
      <x:c r="K6" s="65" t="str">
        <x:v>Fonte / URL</x:v>
      </x:c>
    </x:row>
    <x:row r="7" ht="65" customHeight="1">
      <x:c r="A7" s="32" t="n">
        <x:v>1</x:v>
      </x:c>
      <x:c r="B7" s="32" t="str">
        <x:v>Rack de parede 19" 12U Intelbras MRD 1257</x:v>
      </x:c>
      <x:c r="C7" s="32" t="str">
        <x:v>Intelbras MRD 1257</x:v>
      </x:c>
      <x:c r="D7" s="32" t="n">
        <x:v>1</x:v>
      </x:c>
      <x:c r="E7" s="32" t="str">
        <x:v>un</x:v>
      </x:c>
      <x:c r="F7" s="35" t="n">
        <x:f>'Orçamento'!E14/1</x:f>
        <x:v>1014.42</x:v>
      </x:c>
      <x:c r="G7" s="35" t="n">
        <x:f>'Orçamento'!F14-SUM('Orçamento'!J14:L14)</x:f>
        <x:v>1014.4200000000001</x:v>
      </x:c>
      <x:c r="H7" s="32" t="str">
        <x:v>Equipamentos</x:v>
      </x:c>
      <x:c r="I7" s="32" t="str">
        <x:v>RACK-T / RACK-CPD / RACK-2 / RACK-3; servidores em torre fora do rack</x:v>
      </x:c>
      <x:c r="J7" s="26" t="str">
        <x:f>'Orçamento'!N14</x:f>
        <x:v>KaBuM!</x:v>
      </x:c>
      <x:c r="K7" s="26" t="str">
        <x:f>'Orçamento'!H14</x:f>
        <x:v>https://www.kabum.com.br/produto/303757/mini-rack-desmontavel-de-parede-12u-19-x-570mm-intelbras-mrd-1257</x:v>
      </x:c>
    </x:row>
    <x:row r="8" ht="65" customHeight="1">
      <x:c r="A8" s="32" t="n">
        <x:v>3</x:v>
      </x:c>
      <x:c r="B8" s="32" t="str">
        <x:v>Switch acesso 1º/3º TP-Link TL-SG116E, 16xGbE Easy Smart</x:v>
      </x:c>
      <x:c r="C8" s="32" t="str">
        <x:v>TP-Link TL-SG116E</x:v>
      </x:c>
      <x:c r="D8" s="32" t="n">
        <x:v>1</x:v>
      </x:c>
      <x:c r="E8" s="32" t="str">
        <x:v>un</x:v>
      </x:c>
      <x:c r="F8" s="35" t="n">
        <x:f>'Orçamento'!E16/1</x:f>
        <x:v>412.74</x:v>
      </x:c>
      <x:c r="G8" s="35" t="n">
        <x:f>'Orçamento'!F16-SUM('Orçamento'!J16:L16)</x:f>
        <x:v>412.74</x:v>
      </x:c>
      <x:c r="H8" s="32" t="str">
        <x:v>Equipamentos</x:v>
      </x:c>
      <x:c r="I8" s="32" t="str">
        <x:v>N3: 6 terminais + 2 servidores + uplink = 9; 3º: 10 terminais + uplink = 11; sem PoE/SFP</x:v>
      </x:c>
      <x:c r="J8" s="26" t="str">
        <x:f>'Orçamento'!N16</x:f>
        <x:v>KaBuM!</x:v>
      </x:c>
      <x:c r="K8" s="26" t="str">
        <x:f>'Orçamento'!H16</x:f>
        <x:v>https://www.kabum.com.br/produto/384130/switch-tp-link-16-portas-10-100-1000-mbps-tl-sg116e</x:v>
      </x:c>
    </x:row>
    <x:row r="9" ht="65" customHeight="1">
      <x:c r="A9" s="32" t="n">
        <x:v>5</x:v>
      </x:c>
      <x:c r="B9" s="32" t="str">
        <x:v>Switch distribuição/PoE TP-Link TL-SG2210MP, 8xPoE+ + 2 SFP, 150 W</x:v>
      </x:c>
      <x:c r="C9" s="32" t="str">
        <x:v>TP-Link TL-SG2210MP</x:v>
      </x:c>
      <x:c r="D9" s="32" t="n">
        <x:v>1</x:v>
      </x:c>
      <x:c r="E9" s="32" t="str">
        <x:v>un</x:v>
      </x:c>
      <x:c r="F9" s="35" t="n">
        <x:f>'Orçamento'!E18/1</x:f>
        <x:v>1044</x:v>
      </x:c>
      <x:c r="G9" s="35" t="n">
        <x:f>'Orçamento'!F18-SUM('Orçamento'!J18:L18)</x:f>
        <x:v>1044</x:v>
      </x:c>
      <x:c r="H9" s="32" t="str">
        <x:v>Equipamentos</x:v>
      </x:c>
      <x:c r="I9" s="32" t="str">
        <x:v>SW-BB-T/1/2/3: backbone, uplink local e 5 APs; 2 SFP nos andares intermediários</x:v>
      </x:c>
      <x:c r="J9" s="26" t="str">
        <x:f>'Orçamento'!N18</x:f>
        <x:v>Magazine Luiza</x:v>
      </x:c>
      <x:c r="K9" s="26" t="str">
        <x:f>'Orçamento'!H18</x:f>
        <x:v>https://www.magazineluiza.com.br/switch-gigabit-tp-link-8-portas-2-sfp-sg2210mp-poe-150w/p/efbdb23fa4/in/swit/</x:v>
      </x:c>
    </x:row>
    <x:row r="10" ht="65" customHeight="1">
      <x:c r="A10" s="32" t="n">
        <x:v>7</x:v>
      </x:c>
      <x:c r="B10" s="32" t="str">
        <x:v>AP corporativo TP-Link EAP610 Wi-Fi 6, 802.3at</x:v>
      </x:c>
      <x:c r="C10" s="32" t="str">
        <x:v>TP-Link EAP610</x:v>
      </x:c>
      <x:c r="D10" s="32" t="n">
        <x:v>1</x:v>
      </x:c>
      <x:c r="E10" s="32" t="str">
        <x:v>un</x:v>
      </x:c>
      <x:c r="F10" s="35" t="n">
        <x:f>'Orçamento'!E20/1</x:f>
        <x:v>849.9</x:v>
      </x:c>
      <x:c r="G10" s="35" t="n">
        <x:f>'Orçamento'!F20-SUM('Orçamento'!J20:L20)</x:f>
        <x:v>849.9000000000001</x:v>
      </x:c>
      <x:c r="H10" s="32" t="str">
        <x:v>Equipamentos</x:v>
      </x:c>
      <x:c r="I10" s="32" t="str">
        <x:v>AP-CORP-T, AP-1-01, AP-2-01, AP-3-01; um por pavimento</x:v>
      </x:c>
      <x:c r="J10" s="26" t="str">
        <x:f>'Orçamento'!N20</x:f>
        <x:v>KaBuM!</x:v>
      </x:c>
      <x:c r="K10" s="26" t="str">
        <x:f>'Orçamento'!H20</x:f>
        <x:v>https://www.kabum.com.br/produto/388006/access-point-tp-link-eap610-ax1800-1775mbps-omada-wi-fi-6-montavel-em-teto</x:v>
      </x:c>
    </x:row>
    <x:row r="11" ht="65" customHeight="1">
      <x:c r="A11" s="32" t="n">
        <x:v>11</x:v>
      </x:c>
      <x:c r="B11" s="32" t="str">
        <x:v>Nobreak Intelbras ATTIV 700 VA para rede de andar</x:v>
      </x:c>
      <x:c r="C11" s="32" t="str">
        <x:v>Intelbras ATTIV 700 VA / 220 V</x:v>
      </x:c>
      <x:c r="D11" s="32" t="n">
        <x:v>1</x:v>
      </x:c>
      <x:c r="E11" s="32" t="str">
        <x:v>un</x:v>
      </x:c>
      <x:c r="F11" s="35" t="n">
        <x:f>'Orçamento'!E24/1</x:f>
        <x:v>519.63</x:v>
      </x:c>
      <x:c r="G11" s="35" t="n">
        <x:f>'Orçamento'!F24-SUM('Orçamento'!J24:L24)</x:f>
        <x:v>519.6300000000001</x:v>
      </x:c>
      <x:c r="H11" s="32" t="str">
        <x:v>Equipamentos</x:v>
      </x:c>
      <x:c r="I11" s="32" t="str">
        <x:v>Térreo, 2º e 3º: switches/roteador/APs; tensão e autonomia a validar</x:v>
      </x:c>
      <x:c r="J11" s="26" t="str">
        <x:f>'Orçamento'!N24</x:f>
        <x:v>Magazine Luiza</x:v>
      </x:c>
      <x:c r="K11" s="26" t="str">
        <x:f>'Orçamento'!H24</x:f>
        <x:v>https://www.magazineluiza.com.br/nobreak-attiv-700va-220v-intelbras/p/ebe051fccd/in/nbak/</x:v>
      </x:c>
    </x:row>
    <x:row r="12" ht="65" customHeight="1">
      <x:c r="A12" s="32" t="n">
        <x:v>13</x:v>
      </x:c>
      <x:c r="B12" s="32" t="str">
        <x:v>Cabo U/UTP Cat6 Furukawa SOHOPLUS, caixa 305 m</x:v>
      </x:c>
      <x:c r="C12" s="32" t="str">
        <x:v>Furukawa SOHOPLUS 23400199</x:v>
      </x:c>
      <x:c r="D12" s="32" t="n">
        <x:v>156</x:v>
      </x:c>
      <x:c r="E12" s="32" t="str">
        <x:v>m</x:v>
      </x:c>
      <x:c r="F12" s="66" t="n">
        <x:f>'Orçamento'!E26/305</x:f>
        <x:v>3.934098360655738</x:v>
      </x:c>
      <x:c r="G12" s="35" t="n">
        <x:f>'Orçamento'!F26-SUM('Orçamento'!J26:L26)</x:f>
        <x:v>613.71</x:v>
      </x:c>
      <x:c r="H12" s="32" t="str">
        <x:v>Cabeamento</x:v>
      </x:c>
      <x:c r="I12" s="32" t="str">
        <x:v>36 enlaces; planta: mínimo ortogonal 395,4 m (escala 1u=1m), +20%=474,5 m; 610 m comprados</x:v>
      </x:c>
      <x:c r="J12" s="26" t="str">
        <x:f>'Orçamento'!N26</x:f>
        <x:v>KaBuM!</x:v>
      </x:c>
      <x:c r="K12" s="26" t="str">
        <x:f>'Orçamento'!H26</x:f>
        <x:v>https://www.kabum.com.br/produto/109964/cabo-de-rede-cat-6-furukawa-sohoplus-305-metros-branco-23400199</x:v>
      </x:c>
    </x:row>
    <x:row r="13" ht="65" customHeight="1">
      <x:c r="A13" s="32" t="n">
        <x:v>14</x:v>
      </x:c>
      <x:c r="B13" s="32" t="str">
        <x:v>Cabo óptico monomodo 6FO antichamas, rolo 50 m</x:v>
      </x:c>
      <x:c r="C13" s="32" t="str">
        <x:v>Monomodo 6FO antichamas / 50 m (SKU não informado)</x:v>
      </x:c>
      <x:c r="D13" s="32" t="n">
        <x:v>25</x:v>
      </x:c>
      <x:c r="E13" s="32" t="str">
        <x:v>m</x:v>
      </x:c>
      <x:c r="F13" s="66" t="n">
        <x:f>'Orçamento'!E27/50</x:f>
        <x:v>9.0928</x:v>
      </x:c>
      <x:c r="G13" s="35" t="n">
        <x:f>'Orçamento'!F27-SUM('Orçamento'!J27:L27)</x:f>
        <x:v>227.31999999999994</x:v>
      </x:c>
      <x:c r="H13" s="32" t="str">
        <x:v>Cabeamento</x:v>
      </x:c>
      <x:c r="I13" s="32" t="str">
        <x:v>3 trechos rack–rack; PDF mede shaft 16,33 m; 100 m comprados para percurso lateral</x:v>
      </x:c>
      <x:c r="J13" s="26" t="str">
        <x:f>'Orçamento'!N27</x:f>
        <x:v>CTMD</x:v>
      </x:c>
      <x:c r="K13" s="26" t="str">
        <x:f>'Orçamento'!H27</x:f>
        <x:v>https://loja.ctmd.eng.br/fibra-optica/9836-cabo-fibra-optica-monomodo-6fo-antichamas-int-ext-p-calhas-50m-.html</x:v>
      </x:c>
    </x:row>
    <x:row r="14" ht="65" customHeight="1">
      <x:c r="A14" s="32" t="n">
        <x:v>15</x:v>
      </x:c>
      <x:c r="B14" s="32" t="str">
        <x:v>Patch panel Cat6 Furukawa 24 portas</x:v>
      </x:c>
      <x:c r="C14" s="32" t="str">
        <x:v>Furukawa SOHOPLUS 35050439</x:v>
      </x:c>
      <x:c r="D14" s="32" t="n">
        <x:v>1</x:v>
      </x:c>
      <x:c r="E14" s="32" t="str">
        <x:v>un</x:v>
      </x:c>
      <x:c r="F14" s="35" t="n">
        <x:f>'Orçamento'!E28/1</x:f>
        <x:v>579.9</x:v>
      </x:c>
      <x:c r="G14" s="35" t="n">
        <x:f>'Orçamento'!F28-SUM('Orçamento'!J28:L28)</x:f>
        <x:v>579.9000000000001</x:v>
      </x:c>
      <x:c r="H14" s="32" t="str">
        <x:v>Terminações</x:v>
      </x:c>
      <x:c r="I14" s="32" t="str">
        <x:v>1 por rack: térreo 3, 1º 7, 2º 15, 3º 11 terminações de área</x:v>
      </x:c>
      <x:c r="J14" s="26" t="str">
        <x:f>'Orçamento'!N28</x:f>
        <x:v>KaBuM!</x:v>
      </x:c>
      <x:c r="K14" s="26" t="str">
        <x:f>'Orçamento'!H28</x:f>
        <x:v>https://www.kabum.com.br/produto/474007/patch-panel-furukawa-t568a-b-soho-plus-cat-6-24-portas-35050439</x:v>
      </x:c>
    </x:row>
    <x:row r="15" ht="65" customHeight="1">
      <x:c r="A15" s="32" t="n">
        <x:v>16</x:v>
      </x:c>
      <x:c r="B15" s="32" t="str">
        <x:v>Keystone fêmea RJ45 Cat6</x:v>
      </x:c>
      <x:c r="C15" s="32" t="str">
        <x:v>RJ45 fêmea UTP Cat6 (SKU não informado)</x:v>
      </x:c>
      <x:c r="D15" s="32" t="n">
        <x:v>11</x:v>
      </x:c>
      <x:c r="E15" s="32" t="str">
        <x:v>un</x:v>
      </x:c>
      <x:c r="F15" s="35" t="n">
        <x:f>'Orçamento'!E29/1</x:f>
        <x:v>23.35</x:v>
      </x:c>
      <x:c r="G15" s="35" t="n">
        <x:f>'Orçamento'!F29-SUM('Orçamento'!J29:L29)</x:f>
        <x:v>256.85</x:v>
      </x:c>
      <x:c r="H15" s="32" t="str">
        <x:v>Terminações</x:v>
      </x:c>
      <x:c r="I15" s="32" t="str">
        <x:v>31 pontos de terminais + 5 APs; servidores ligados localmente por patch cord</x:v>
      </x:c>
      <x:c r="J15" s="26" t="str">
        <x:f>'Orçamento'!N29</x:f>
        <x:v>KaBuM!</x:v>
      </x:c>
      <x:c r="K15" s="26" t="str">
        <x:f>'Orçamento'!H29</x:f>
        <x:v>https://www.kabum.com.br/produto/449852/conector-rj45-femea-utp-branco-cat-6</x:v>
      </x:c>
    </x:row>
    <x:row r="16" ht="65" customHeight="1">
      <x:c r="A16" s="32" t="n">
        <x:v>17</x:v>
      </x:c>
      <x:c r="B16" s="32" t="str">
        <x:v>Caixa de sobrepor 2 saídas para ponto de mesa</x:v>
      </x:c>
      <x:c r="C16" s="32" t="str">
        <x:v>Central Cabos ref. 3402</x:v>
      </x:c>
      <x:c r="D16" s="32" t="n">
        <x:v>10</x:v>
      </x:c>
      <x:c r="E16" s="32" t="str">
        <x:v>un</x:v>
      </x:c>
      <x:c r="F16" s="35" t="n">
        <x:f>'Orçamento'!E30/1</x:f>
        <x:v>5.22</x:v>
      </x:c>
      <x:c r="G16" s="35" t="n">
        <x:f>'Orçamento'!F30-SUM('Orçamento'!J30:L30)</x:f>
        <x:v>52.19999999999999</x:v>
      </x:c>
      <x:c r="H16" s="32" t="str">
        <x:v>Terminações</x:v>
      </x:c>
      <x:c r="I16" s="32" t="str">
        <x:v>1 em cada estação cabeada; 5 APs usam caixa de teto própria</x:v>
      </x:c>
      <x:c r="J16" s="26" t="str">
        <x:f>'Orçamento'!N30</x:f>
        <x:v>Central Cabos</x:v>
      </x:c>
      <x:c r="K16" s="26" t="str">
        <x:f>'Orçamento'!H30</x:f>
        <x:v>https://www.centralcabos.com.br/caixa-sobrepor-2-saidas---3402/p</x:v>
      </x:c>
    </x:row>
    <x:row r="17" ht="65" customHeight="1">
      <x:c r="A17" s="32" t="n">
        <x:v>18</x:v>
      </x:c>
      <x:c r="B17" s="32" t="str">
        <x:v>Caixa octogonal PVC 4x4 Tramontina 57500/005 para AP</x:v>
      </x:c>
      <x:c r="C17" s="32" t="str">
        <x:v>Tramontina 57500/005</x:v>
      </x:c>
      <x:c r="D17" s="32" t="n">
        <x:v>1</x:v>
      </x:c>
      <x:c r="E17" s="32" t="str">
        <x:v>un</x:v>
      </x:c>
      <x:c r="F17" s="35" t="n">
        <x:f>'Orçamento'!E31/1</x:f>
        <x:v>10.2</x:v>
      </x:c>
      <x:c r="G17" s="35" t="n">
        <x:f>'Orçamento'!F31-SUM('Orçamento'!J31:L31)</x:f>
        <x:v>10.200000000000003</x:v>
      </x:c>
      <x:c r="H17" s="32" t="str">
        <x:v>Terminações</x:v>
      </x:c>
      <x:c r="I17" s="32" t="str">
        <x:v>1 por AP para acomodar terminação, sujeito ao tipo de forro</x:v>
      </x:c>
      <x:c r="J17" s="26" t="str">
        <x:f>'Orçamento'!N31</x:f>
        <x:v>Magazine Luiza</x:v>
      </x:c>
      <x:c r="K17" s="26" t="str">
        <x:f>'Orçamento'!H31</x:f>
        <x:v>https://www.magazineluiza.com.br/caixa-de-pvc-octogonal-4x4-amarela-c-fundo-movel-57500005-tramontina-tramontina-eletrik/p/hggjb81446/cj/cxpe/</x:v>
      </x:c>
    </x:row>
    <x:row r="18" ht="65" customHeight="1">
      <x:c r="A18" s="32" t="n">
        <x:v>19</x:v>
      </x:c>
      <x:c r="B18" s="32" t="str">
        <x:v>Patch cord X-cell Cat6 UTP 2 m</x:v>
      </x:c>
      <x:c r="C18" s="32" t="str">
        <x:v>X-cell Cat6 UTP 2 m (SKU não informado)</x:v>
      </x:c>
      <x:c r="D18" s="32" t="n">
        <x:v>23</x:v>
      </x:c>
      <x:c r="E18" s="32" t="str">
        <x:v>un</x:v>
      </x:c>
      <x:c r="F18" s="35" t="n">
        <x:f>'Orçamento'!E32/1</x:f>
        <x:v>14.9</x:v>
      </x:c>
      <x:c r="G18" s="35" t="n">
        <x:f>'Orçamento'!F32-SUM('Orçamento'!J32:L32)</x:f>
        <x:v>342.70000000000005</x:v>
      </x:c>
      <x:c r="H18" s="32" t="str">
        <x:v>Terminações</x:v>
      </x:c>
      <x:c r="I18" s="32" t="str">
        <x:v>36 no rack + 36 nas pontas + 2 servidores + 4 interswitch + 1 gateway + 1 reserva</x:v>
      </x:c>
      <x:c r="J18" s="26" t="str">
        <x:f>'Orçamento'!N32</x:f>
        <x:v>KaBuM!</x:v>
      </x:c>
      <x:c r="K18" s="26" t="str">
        <x:f>'Orçamento'!H32</x:f>
        <x:v>https://www.kabum.com.br/produto/409945/cabo-de-rede-cat-6-2-metros-2m-patch-cord-rj45-lan-internet</x:v>
      </x:c>
    </x:row>
    <x:row r="19" ht="65" customHeight="1">
      <x:c r="A19" s="32" t="n">
        <x:v>20</x:v>
      </x:c>
      <x:c r="B19" s="32" t="str">
        <x:v>PDU Max Eletron 19", 8 tomadas 10 A</x:v>
      </x:c>
      <x:c r="C19" s="32" t="str">
        <x:v>Max Eletron 19" / 8 tomadas 10 A (SKU não informado)</x:v>
      </x:c>
      <x:c r="D19" s="32" t="n">
        <x:v>1</x:v>
      </x:c>
      <x:c r="E19" s="32" t="str">
        <x:v>un</x:v>
      </x:c>
      <x:c r="F19" s="35" t="n">
        <x:f>'Orçamento'!E33/1</x:f>
        <x:v>94.9</x:v>
      </x:c>
      <x:c r="G19" s="35" t="n">
        <x:f>'Orçamento'!F33-SUM('Orçamento'!J33:L33)</x:f>
        <x:v>94.89999999999998</x:v>
      </x:c>
      <x:c r="H19" s="32" t="str">
        <x:v>Terminações</x:v>
      </x:c>
      <x:c r="I19" s="32" t="str">
        <x:v>1 PDU por rack, alimentada por nobreak dimensionado</x:v>
      </x:c>
      <x:c r="J19" s="26" t="str">
        <x:f>'Orçamento'!N33</x:f>
        <x:v>KaBuM!</x:v>
      </x:c>
      <x:c r="K19" s="26" t="str">
        <x:f>'Orçamento'!H33</x:f>
        <x:v>https://www.kabum.com.br/produto/577263/calha-regua-p-rack-c-8-tomadas-10a-19-preto-max-eletron</x:v>
      </x:c>
    </x:row>
    <x:row r="20" ht="65" customHeight="1">
      <x:c r="A20" s="32" t="n">
        <x:v>21</x:v>
      </x:c>
      <x:c r="B20" s="32" t="str">
        <x:v>Mini DIO 6FO monomodo LC/UPC com pigtails</x:v>
      </x:c>
      <x:c r="C20" s="32" t="str">
        <x:v>Mini-DIO-6FO LC/UPC (referência do fornecedor)</x:v>
      </x:c>
      <x:c r="D20" s="32" t="n">
        <x:v>1</x:v>
      </x:c>
      <x:c r="E20" s="32" t="str">
        <x:v>un</x:v>
      </x:c>
      <x:c r="F20" s="35" t="n">
        <x:f>'Orçamento'!E34/1</x:f>
        <x:v>351.12</x:v>
      </x:c>
      <x:c r="G20" s="35" t="n">
        <x:f>'Orçamento'!F34-SUM('Orçamento'!J34:L34)</x:f>
        <x:v>351.1199999999999</x:v>
      </x:c>
      <x:c r="H20" s="32" t="str">
        <x:v>Terminações</x:v>
      </x:c>
      <x:c r="I20" s="32" t="str">
        <x:v>1 por rack; 2 fibras por enlace; 4 fibras ativas nos andares 1 e 2</x:v>
      </x:c>
      <x:c r="J20" s="26" t="str">
        <x:f>'Orçamento'!N34</x:f>
        <x:v>Aztech</x:v>
      </x:c>
      <x:c r="K20" s="26" t="str">
        <x:f>'Orçamento'!H34</x:f>
        <x:v>https://www.aztech.com.br/mini-dio-6fo-de-aco-com-conectores-pigtail-e-acopladores-lcupc-monomodo</x:v>
      </x:c>
    </x:row>
    <x:row r="21" ht="65" customHeight="1">
      <x:c r="A21" s="32" t="n">
        <x:v>22</x:v>
      </x:c>
      <x:c r="B21" s="32" t="str">
        <x:v>Módulo SFP TP-Link TL-SM311LS monomodo LC</x:v>
      </x:c>
      <x:c r="C21" s="32" t="str">
        <x:v>TP-Link TL-SM311LS</x:v>
      </x:c>
      <x:c r="D21" s="32" t="n">
        <x:v>1</x:v>
      </x:c>
      <x:c r="E21" s="32" t="str">
        <x:v>un</x:v>
      </x:c>
      <x:c r="F21" s="35" t="n">
        <x:f>'Orçamento'!E35/1</x:f>
        <x:v>103.55</x:v>
      </x:c>
      <x:c r="G21" s="35" t="n">
        <x:f>'Orçamento'!F35-SUM('Orçamento'!J35:L35)</x:f>
        <x:v>103.54999999999995</x:v>
      </x:c>
      <x:c r="H21" s="32" t="str">
        <x:v>Terminações</x:v>
      </x:c>
      <x:c r="I21" s="32" t="str">
        <x:v>3 enlaces ópticos adjacentes × 2 pontas; confirmar compatibilidade por revisão</x:v>
      </x:c>
      <x:c r="J21" s="26" t="str">
        <x:f>'Orçamento'!N35</x:f>
        <x:v>Central Cabos</x:v>
      </x:c>
      <x:c r="K21" s="26" t="str">
        <x:f>'Orçamento'!H35</x:f>
        <x:v>https://www.centralcabos.com.br/modulo-sfp-1-25g-duplex-lc-monomodo-1000base-lx-1310nm-20km---tp-lin---tl-sm311ls/p</x:v>
      </x:c>
    </x:row>
    <x:row r="22" ht="65" customHeight="1">
      <x:c r="A22" s="32" t="n">
        <x:v>23</x:v>
      </x:c>
      <x:c r="B22" s="32" t="str">
        <x:v>Cordão óptico duplex monomodo LC/UPC 2 m</x:v>
      </x:c>
      <x:c r="C22" s="32" t="str">
        <x:v>SM 9/125 LC/UPC-LC/UPC 2 m (SKU não informado)</x:v>
      </x:c>
      <x:c r="D22" s="32" t="n">
        <x:v>1</x:v>
      </x:c>
      <x:c r="E22" s="32" t="str">
        <x:v>un</x:v>
      </x:c>
      <x:c r="F22" s="35" t="n">
        <x:f>'Orçamento'!E36/1</x:f>
        <x:v>73.11</x:v>
      </x:c>
      <x:c r="G22" s="35" t="n">
        <x:f>'Orçamento'!F36-SUM('Orçamento'!J36:L36)</x:f>
        <x:v>73.11000000000007</x:v>
      </x:c>
      <x:c r="H22" s="32" t="str">
        <x:v>Terminações</x:v>
      </x:c>
      <x:c r="I22" s="32" t="str">
        <x:v>1 DIO–SFP por transceptor; LC/Uterminal nas duas pontas</x:v>
      </x:c>
      <x:c r="J22" s="26" t="str">
        <x:f>'Orçamento'!N36</x:f>
        <x:v>Instrufiber</x:v>
      </x:c>
      <x:c r="K22" s="26" t="str">
        <x:f>'Orçamento'!H36</x:f>
        <x:v>https://loja1.instrufiber.com.br/cordao-ptico-duplex-sm-9-125-lc-pc-lc-pc-2?tag=cord%C3%A3o+monomodo+ST</x:v>
      </x:c>
    </x:row>
    <x:row r="23" ht="65" customHeight="1">
      <x:c r="A23" s="32" t="n">
        <x:v>24</x:v>
      </x:c>
      <x:c r="B23" s="32" t="str">
        <x:v>Guia horizontal Caesa 1U x 55 mm</x:v>
      </x:c>
      <x:c r="C23" s="32" t="str">
        <x:v>Caesa 1U x 55 mm (SKU não informado)</x:v>
      </x:c>
      <x:c r="D23" s="32" t="n">
        <x:v>1</x:v>
      </x:c>
      <x:c r="E23" s="32" t="str">
        <x:v>un</x:v>
      </x:c>
      <x:c r="F23" s="35" t="n">
        <x:f>'Orçamento'!E37/1</x:f>
        <x:v>36</x:v>
      </x:c>
      <x:c r="G23" s="35" t="n">
        <x:f>'Orçamento'!F37-SUM('Orçamento'!J37:L37)</x:f>
        <x:v>36</x:v>
      </x:c>
      <x:c r="H23" s="32" t="str">
        <x:v>Terminações</x:v>
      </x:c>
      <x:c r="I23" s="32" t="str">
        <x:v>1 por rack entre patch panel e switches; separar cobre/óptico</x:v>
      </x:c>
      <x:c r="J23" s="26" t="str">
        <x:f>'Orçamento'!N37</x:f>
        <x:v>KaBuM!</x:v>
      </x:c>
      <x:c r="K23" s="26" t="str">
        <x:f>'Orçamento'!H37</x:f>
        <x:v>https://www.kabum.com.br/produto/533002/guia-de-cabo-caesa-1ux55mm-preto</x:v>
      </x:c>
    </x:row>
    <x:row r="24" ht="65" customHeight="1">
      <x:c r="A24" s="32" t="n">
        <x:v>25</x:v>
      </x:c>
      <x:c r="B24" s="32" t="str">
        <x:v>Canaleta fechada PVC com tampa 50 x 50 mm, barra 2 m</x:v>
      </x:c>
      <x:c r="C24" s="32" t="str">
        <x:v>Enerbras 5050-E</x:v>
      </x:c>
      <x:c r="D24" s="32" t="n">
        <x:v>14</x:v>
      </x:c>
      <x:c r="E24" s="32" t="str">
        <x:v>barra</x:v>
      </x:c>
      <x:c r="F24" s="35" t="n">
        <x:f>'Orçamento'!E38/1</x:f>
        <x:v>82.82</x:v>
      </x:c>
      <x:c r="G24" s="35" t="n">
        <x:f>'Orçamento'!F38-SUM('Orçamento'!J38:L38)</x:f>
        <x:v>1159.48</x:v>
      </x:c>
      <x:c r="H24" s="32" t="str">
        <x:v>Montagem</x:v>
      </x:c>
      <x:c r="I24" s="32" t="str">
        <x:v>Estimativa: 16 / 24 / 28 / 28 m de caminhos compartilhados. Seção e quantidade a validar na vistoria.</x:v>
      </x:c>
      <x:c r="J24" s="26" t="str">
        <x:f>'Orçamento'!N38</x:f>
        <x:v>Eletriza</x:v>
      </x:c>
      <x:c r="K24" s="26" t="str">
        <x:f>'Orçamento'!H38</x:f>
        <x:v>https://eletriza.com.br/materiais-eletricos/canaletas</x:v>
      </x:c>
    </x:row>
    <x:row r="25" ht="65" customHeight="1">
      <x:c r="A25" s="32" t="n">
        <x:v>26</x:v>
      </x:c>
      <x:c r="B25" s="32" t="str">
        <x:v>Eletroduto rígido soldável PVC 32 mm, barra 3 m</x:v>
      </x:c>
      <x:c r="C25" s="32" t="str">
        <x:v>Tigre 32 mm / loja ref. 92495</x:v>
      </x:c>
      <x:c r="D25" s="32" t="n">
        <x:v>2</x:v>
      </x:c>
      <x:c r="E25" s="32" t="str">
        <x:v>barra</x:v>
      </x:c>
      <x:c r="F25" s="35" t="n">
        <x:f>'Orçamento'!E39/1</x:f>
        <x:v>27</x:v>
      </x:c>
      <x:c r="G25" s="35" t="n">
        <x:f>'Orçamento'!F39-SUM('Orçamento'!J39:L39)</x:f>
        <x:v>54</x:v>
      </x:c>
      <x:c r="H25" s="32" t="str">
        <x:v>Montagem</x:v>
      </x:c>
      <x:c r="I25" s="32" t="str">
        <x:v>Estimativa: 24 m para shaft e transições; 6 m por piso como rateio financeiro. Não compartilhar com energia.</x:v>
      </x:c>
      <x:c r="J25" s="26" t="str">
        <x:f>'Orçamento'!N39</x:f>
        <x:v>Roque</x:v>
      </x:c>
      <x:c r="K25" s="26" t="str">
        <x:f>'Orçamento'!H39</x:f>
        <x:v>https://loja.roquebr.com/eletroduto-rigido-sold-32mm-3m---tigre/p</x:v>
      </x:c>
    </x:row>
    <x:row r="26" ht="65" customHeight="1">
      <x:c r="A26" s="32" t="n">
        <x:v>27</x:v>
      </x:c>
      <x:c r="B26" s="32" t="str">
        <x:v>Bandeja fixa rack 19 polegadas, 1U x 250 mm</x:v>
      </x:c>
      <x:c r="C26" s="32" t="str">
        <x:v>Nilko NK030160-C250</x:v>
      </x:c>
      <x:c r="D26" s="32" t="n">
        <x:v>1</x:v>
      </x:c>
      <x:c r="E26" s="32" t="str">
        <x:v>un</x:v>
      </x:c>
      <x:c r="F26" s="35" t="n">
        <x:f>'Orçamento'!E40/1</x:f>
        <x:v>60.16</x:v>
      </x:c>
      <x:c r="G26" s="35" t="n">
        <x:f>'Orçamento'!F40-SUM('Orçamento'!J40:L40)</x:f>
        <x:v>60.16</x:v>
      </x:c>
      <x:c r="H26" s="32" t="str">
        <x:v>Montagem</x:v>
      </x:c>
      <x:c r="I26" s="32" t="str">
        <x:v>Uma por rack para dispositivos compactos; carga, profundidade e fixação a conferir. Loja informa prazo de fabricação.</x:v>
      </x:c>
      <x:c r="J26" s="26" t="str">
        <x:f>'Orçamento'!N40</x:f>
        <x:v>Nilko</x:v>
      </x:c>
      <x:c r="K26" s="26" t="str">
        <x:f>'Orçamento'!H40</x:f>
        <x:v>https://loja.nilko.com.br/informatica/acessorios/bandeja-fixa-para-rack-19-x-1u-250mm</x:v>
      </x:c>
    </x:row>
    <x:row r="27" ht="65" customHeight="1">
      <x:c r="A27" s="32" t="n">
        <x:v>28</x:v>
      </x:c>
      <x:c r="B27" s="32" t="str">
        <x:v>Conjunto porca gaiola e parafuso para rack 19 polegadas</x:v>
      </x:c>
      <x:c r="C27" s="32" t="str">
        <x:v>Central Cabos ref. 5528</x:v>
      </x:c>
      <x:c r="D27" s="32" t="n">
        <x:v>24</x:v>
      </x:c>
      <x:c r="E27" s="32" t="str">
        <x:v>conj.</x:v>
      </x:c>
      <x:c r="F27" s="35" t="n">
        <x:f>'Orçamento'!E41/1</x:f>
        <x:v>0.86</x:v>
      </x:c>
      <x:c r="G27" s="35" t="n">
        <x:f>'Orçamento'!F41-SUM('Orçamento'!J41:L41)</x:f>
        <x:v>20.64</x:v>
      </x:c>
      <x:c r="H27" s="32" t="str">
        <x:v>Montagem</x:v>
      </x:c>
      <x:c r="I27" s="32" t="str">
        <x:v>24 conjuntos por rack, incluindo reserva; rosca compatível com trilhos e acessórios a confirmar.</x:v>
      </x:c>
      <x:c r="J27" s="26" t="str">
        <x:f>'Orçamento'!N41</x:f>
        <x:v>Central Cabos</x:v>
      </x:c>
      <x:c r="K27" s="26" t="str">
        <x:f>'Orçamento'!H41</x:f>
        <x:v>https://www.centralcabos.com.br/kit-porca-gaiola-com-parafuso/p</x:v>
      </x:c>
    </x:row>
    <x:row r="28" ht="65" customHeight="1">
      <x:c r="A28" s="32" t="n">
        <x:v>29</x:v>
      </x:c>
      <x:c r="B28" s="32" t="str">
        <x:v>Fita de velcro reutilizável, rolo 5 m</x:v>
      </x:c>
      <x:c r="C28" s="32" t="str">
        <x:v>Costa Brava IDORGCABOSVELCROPRETO</x:v>
      </x:c>
      <x:c r="D28" s="32" t="n">
        <x:v>1</x:v>
      </x:c>
      <x:c r="E28" s="32" t="str">
        <x:v>rolo</x:v>
      </x:c>
      <x:c r="F28" s="35" t="n">
        <x:f>'Orçamento'!E42/1</x:f>
        <x:v>24.99</x:v>
      </x:c>
      <x:c r="G28" s="35" t="n">
        <x:f>'Orçamento'!F42-SUM('Orçamento'!J42:L42)</x:f>
        <x:v>24.989999999999995</x:v>
      </x:c>
      <x:c r="H28" s="32" t="str">
        <x:v>Montagem</x:v>
      </x:c>
      <x:c r="I28" s="32" t="str">
        <x:v>Um rolo por piso; feixes sem compressão dos cabos. Preço de referência: anúncio indica esgotado, recotar equivalente.</x:v>
      </x:c>
      <x:c r="J28" s="26" t="str">
        <x:f>'Orçamento'!N42</x:f>
        <x:v>Costa Brava Home</x:v>
      </x:c>
      <x:c r="K28" s="26" t="str">
        <x:f>'Orçamento'!H42</x:f>
        <x:v>https://www.costabravahome.com.br/produtos/fita-velcro-organizadora-de-cabos-5m-p-usb-carregador-e-fios-em-geral/</x:v>
      </x:c>
    </x:row>
    <x:row r="29" ht="65" customHeight="1">
      <x:c r="A29" s="32" t="n">
        <x:v>30</x:v>
      </x:c>
      <x:c r="B29" s="32" t="str">
        <x:v>Kit de buchas e parafusos, pacote 100 conjuntos</x:v>
      </x:c>
      <x:c r="C29" s="32" t="str">
        <x:v>Rio Reveste kit c/100 (dimensão a confirmar)</x:v>
      </x:c>
      <x:c r="D29" s="32" t="n">
        <x:v>1</x:v>
      </x:c>
      <x:c r="E29" s="32" t="str">
        <x:v>pac.</x:v>
      </x:c>
      <x:c r="F29" s="35" t="n">
        <x:f>'Orçamento'!E43/1</x:f>
        <x:v>40</x:v>
      </x:c>
      <x:c r="G29" s="35" t="n">
        <x:f>'Orçamento'!F43-SUM('Orçamento'!J43:L43)</x:f>
        <x:v>40</x:v>
      </x:c>
      <x:c r="H29" s="32" t="str">
        <x:v>Montagem</x:v>
      </x:c>
      <x:c r="I29" s="32" t="str">
        <x:v>Um pacote por piso para fixações leves de canaletas/caixas; definir dimensão conforme parede. Não usar como ancoragem de rack.</x:v>
      </x:c>
      <x:c r="J29" s="26" t="str">
        <x:f>'Orçamento'!N43</x:f>
        <x:v>Rio Reveste</x:v>
      </x:c>
      <x:c r="K29" s="26" t="str">
        <x:f>'Orçamento'!H43</x:f>
        <x:v>https://www.r2rioreveste.com.br/product-page/kit-parafuso-e-bucha-c-100</x:v>
      </x:c>
    </x:row>
    <x:row r="30" ht="65" customHeight="1">
      <x:c r="A30" s="32" t="n">
        <x:v>31</x:v>
      </x:c>
      <x:c r="B30" s="32" t="str">
        <x:v>Etiquetas adesivas de identificação, números 1 a 100</x:v>
      </x:c>
      <x:c r="C30" s="32" t="str">
        <x:v>Micro Oficina vinil / 1 a 100</x:v>
      </x:c>
      <x:c r="D30" s="32" t="n">
        <x:v>50</x:v>
      </x:c>
      <x:c r="E30" s="32" t="str">
        <x:v>etiqueta</x:v>
      </x:c>
      <x:c r="F30" s="66" t="n">
        <x:f>'Orçamento'!E44/100</x:f>
        <x:v>0.4275</x:v>
      </x:c>
      <x:c r="G30" s="35" t="n">
        <x:f>'Orçamento'!F44-SUM('Orçamento'!J44:L44)</x:f>
        <x:v>21.36</x:v>
      </x:c>
      <x:c r="H30" s="32" t="str">
        <x:v>Montagem</x:v>
      </x:c>
      <x:c r="I30" s="32" t="str">
        <x:v>200 etiquetas: terminações, portas e reserva; rateio de 50 por piso. Acrescentar identificação do andar ao número.</x:v>
      </x:c>
      <x:c r="J30" s="26" t="str">
        <x:f>'Orçamento'!N44</x:f>
        <x:v>Magazine Luiza</x:v>
      </x:c>
      <x:c r="K30" s="26" t="str">
        <x:f>'Orçamento'!H44</x:f>
        <x:v>https://www.magazineluiza.com.br/adesivo-etiqueta-identificador-fios-e-cabos-numerado-1-a-100-micro-oficina/p/ed3a2a8gg3/pa/etpi/</x:v>
      </x:c>
    </x:row>
    <x:row r="31" ht="65" customHeight="1">
      <x:c r="A31" s="32" t="n">
        <x:v>32</x:v>
      </x:c>
      <x:c r="B31" s="32" t="str">
        <x:v>Provisão: conexões, suportes de eletroduto e ancoragens dos racks</x:v>
      </x:c>
      <x:c r="C31" s="32" t="str">
        <x:v>Lote técnico por piso; especificação após vistoria</x:v>
      </x:c>
      <x:c r="D31" s="32" t="n">
        <x:v>1</x:v>
      </x:c>
      <x:c r="E31" s="32" t="str">
        <x:v>lote</x:v>
      </x:c>
      <x:c r="F31" s="35" t="n">
        <x:f>'Orçamento'!E45/1</x:f>
        <x:v>110</x:v>
      </x:c>
      <x:c r="G31" s="35" t="n">
        <x:f>'Orçamento'!F45-SUM('Orçamento'!J45:L45)</x:f>
        <x:v>110</x:v>
      </x:c>
      <x:c r="H31" s="32" t="str">
        <x:v>Montagem</x:v>
      </x:c>
      <x:c r="I31" s="32" t="str">
        <x:v>Estimativa técnica por piso: R$ 60 para curvas/luvas/terminais/abraçadeiras e R$ 50 para ancoragens. Não é cotação de loja.</x:v>
      </x:c>
      <x:c r="J31" s="26" t="str">
        <x:f>'Orçamento'!N45</x:f>
        <x:v>A cotar</x:v>
      </x:c>
      <x:c r="K31" s="26" t="n">
        <x:f>'Orçamento'!H45</x:f>
        <x:v>0</x:v>
      </x:c>
    </x:row>
    <x:row r="32">
      <x:c r="B32" s="26"/>
      <x:c r="C32" s="26"/>
      <x:c r="F32" s="20"/>
      <x:c r="G32" s="20"/>
      <x:c r="I32" s="26"/>
      <x:c r="J32" s="26"/>
      <x:c r="K32" s="26"/>
    </x:row>
    <x:row r="33">
      <x:c r="A33" t="str">
        <x:v>Totais representam materiais do pavimento; quantidades de montagem preliminares e rateio da fibra a validar na vistoria.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6" hidden="0" customWidth="1"/>
    <x:col min="3" max="3" width="16" hidden="0" customWidth="1"/>
    <x:col min="4" max="4" width="22" hidden="0" customWidth="1"/>
    <x:col min="5" max="5" width="22" hidden="0" customWidth="1"/>
    <x:col min="6" max="6" width="22" hidden="0" customWidth="1"/>
    <x:col min="7" max="7" width="20" hidden="0" customWidth="1"/>
    <x:col min="8" max="8" width="20" hidden="0" customWidth="1"/>
  </x:cols>
  <x:sheetData>
    <x:row r="1">
      <x:c r="A1" s="41"/>
      <x:c r="B1" s="41"/>
      <x:c r="C1" s="41"/>
      <x:c r="D1" s="41"/>
      <x:c r="E1" s="41"/>
      <x:c r="F1" s="41"/>
      <x:c r="G1" s="41"/>
    </x:row>
    <x:row r="2">
      <x:c r="A2" s="41" t="str">
        <x:v>Orçamento principal | Resumo por andar</x:v>
      </x:c>
      <x:c r="B2" s="41"/>
      <x:c r="C2" s="41"/>
      <x:c r="D2" s="41"/>
      <x:c r="E2" s="41"/>
      <x:c r="F2" s="41"/>
      <x:c r="G2" s="41"/>
    </x:row>
    <x:row r="3">
      <x:c r="A3" s="41" t="str">
        <x:v>31 pontos de terminais + 5 APs; compra de computadores excluída</x:v>
      </x:c>
      <x:c r="B3" s="41"/>
      <x:c r="C3" s="41"/>
      <x:c r="D3" s="41"/>
      <x:c r="E3" s="41"/>
      <x:c r="F3" s="41"/>
      <x:c r="G3" s="41"/>
    </x:row>
    <x:row r="4">
      <x:c r="A4" s="41"/>
      <x:c r="B4" s="41"/>
      <x:c r="C4" s="41"/>
      <x:c r="D4" s="41"/>
      <x:c r="E4" s="41"/>
      <x:c r="F4" s="41"/>
      <x:c r="G4" s="41"/>
    </x:row>
    <x:row r="5">
      <x:c r="A5" s="41"/>
      <x:c r="B5" s="41"/>
      <x:c r="C5" s="41"/>
      <x:c r="D5" s="41"/>
      <x:c r="E5" s="41"/>
      <x:c r="F5" s="41"/>
      <x:c r="G5" s="41"/>
    </x:row>
    <x:row r="6" ht="40" customHeight="1">
      <x:c r="A6" s="65" t="str">
        <x:v>Pavimento</x:v>
      </x:c>
      <x:c r="B6" s="65" t="str">
        <x:v>Pontos de terminais</x:v>
      </x:c>
      <x:c r="C6" s="65" t="str">
        <x:v>Pontos incl. APs</x:v>
      </x:c>
      <x:c r="D6" s="65" t="str">
        <x:v>Equipamentos</x:v>
      </x:c>
      <x:c r="E6" s="65" t="str">
        <x:v>Cabeamento</x:v>
      </x:c>
      <x:c r="F6" s="65" t="str">
        <x:v>Terminações</x:v>
      </x:c>
      <x:c r="G6" s="65" t="str">
        <x:v>Montagem</x:v>
      </x:c>
      <x:c r="H6" s="65" t="str">
        <x:v>Total</x:v>
      </x:c>
    </x:row>
    <x:row r="7" ht="30" customHeight="1">
      <x:c r="A7" s="41" t="str">
        <x:v>Térreo</x:v>
      </x:c>
      <x:c r="B7" s="41" t="n">
        <x:v>1</x:v>
      </x:c>
      <x:c r="C7" s="41" t="n">
        <x:v>3</x:v>
      </x:c>
      <x:c r="D7" s="44" t="n">
        <x:f>SUMIF('Orçamento'!A14:A45,'Orçamento'!A5,'Orçamento'!J14:J45)</x:f>
        <x:v>5070.22</x:v>
      </x:c>
      <x:c r="E7" s="44" t="n">
        <x:f>SUMIF('Orçamento'!A14:A45,'Orçamento'!A6,'Orçamento'!J14:J45)</x:f>
        <x:v>361.08</x:v>
      </x:c>
      <x:c r="F7" s="44" t="n">
        <x:f>SUMIF('Orçamento'!A14:A45,'Orçamento'!A7,'Orçamento'!J14:J45)</x:f>
        <x:v>1453.4499999999998</x:v>
      </x:c>
      <x:c r="G7" s="44" t="n">
        <x:f>SUMIF('Orçamento'!A14:A45,'Orçamento'!A8,'Orçamento'!J14:J45)</x:f>
        <x:v>993.7299999999999</x:v>
      </x:c>
      <x:c r="H7" s="20" t="n">
        <x:f>SUM(D7:G7)</x:f>
        <x:v>7878.48</x:v>
      </x:c>
    </x:row>
    <x:row r="8" ht="30" customHeight="1">
      <x:c r="A8" s="41" t="str">
        <x:v>1º andar</x:v>
      </x:c>
      <x:c r="B8" s="41" t="n">
        <x:v>6</x:v>
      </x:c>
      <x:c r="C8" s="41" t="n">
        <x:v>7</x:v>
      </x:c>
      <x:c r="D8" s="44" t="n">
        <x:f>SUMIF('Orçamento'!A14:A45,'Orçamento'!A5,'Orçamento'!K14:K45)</x:f>
        <x:v>30472.019999999997</x:v>
      </x:c>
      <x:c r="E8" s="44" t="n">
        <x:f>SUMIF('Orçamento'!A14:A45,'Orçamento'!A6,'Orçamento'!K14:K45)</x:f>
        <x:v>683.6800000000001</x:v>
      </x:c>
      <x:c r="F8" s="44" t="n">
        <x:f>SUMIF('Orçamento'!A14:A45,'Orçamento'!A7,'Orçamento'!K14:K45)</x:f>
        <x:v>1888.41</x:v>
      </x:c>
      <x:c r="G8" s="44" t="n">
        <x:f>SUMIF('Orçamento'!A14:A45,'Orçamento'!A8,'Orçamento'!K14:K45)</x:f>
        <x:v>1325.0100000000004</x:v>
      </x:c>
      <x:c r="H8" s="20" t="n">
        <x:f>SUM(D8:G8)</x:f>
        <x:v>34369.12</x:v>
      </x:c>
    </x:row>
    <x:row r="9" ht="30" customHeight="1">
      <x:c r="A9" s="41" t="str">
        <x:v>2º andar</x:v>
      </x:c>
      <x:c r="B9" s="41" t="n">
        <x:v>14</x:v>
      </x:c>
      <x:c r="C9" s="41" t="n">
        <x:v>15</x:v>
      </x:c>
      <x:c r="D9" s="44" t="n">
        <x:f>SUMIF('Orçamento'!A14:A45,'Orçamento'!A5,'Orçamento'!L14:L45)</x:f>
        <x:v>4427.94</x:v>
      </x:c>
      <x:c r="E9" s="44" t="n">
        <x:f>SUMIF('Orçamento'!A14:A45,'Orçamento'!A6,'Orçamento'!L14:L45)</x:f>
        <x:v>1423.29</x:v>
      </x:c>
      <x:c r="F9" s="44" t="n">
        <x:f>SUMIF('Orçamento'!A14:A45,'Orçamento'!A7,'Orçamento'!L14:L45)</x:f>
        <x:v>2310.6699999999996</x:v>
      </x:c>
      <x:c r="G9" s="44" t="n">
        <x:f>SUMIF('Orçamento'!A14:A45,'Orçamento'!A8,'Orçamento'!L14:L45)</x:f>
        <x:v>1490.6500000000003</x:v>
      </x:c>
      <x:c r="H9" s="20" t="n">
        <x:f>SUM(D9:G9)</x:f>
        <x:v>9652.55</x:v>
      </x:c>
    </x:row>
    <x:row r="10" ht="30" customHeight="1">
      <x:c r="A10" s="41" t="str">
        <x:v>3º andar</x:v>
      </x:c>
      <x:c r="B10" s="41" t="n">
        <x:v>10</x:v>
      </x:c>
      <x:c r="C10" s="41" t="n">
        <x:v>11</x:v>
      </x:c>
      <x:c r="D10" s="44" t="n">
        <x:f>SUMIF('Orçamento'!A14:A45,'Orçamento'!A5,'Orçamento'!M14:M45)</x:f>
        <x:v>3840.69</x:v>
      </x:c>
      <x:c r="E10" s="44" t="n">
        <x:f>SUMIF('Orçamento'!A14:A45,'Orçamento'!A6,'Orçamento'!M14:M45)</x:f>
        <x:v>841.03</x:v>
      </x:c>
      <x:c r="F10" s="44" t="n">
        <x:f>SUMIF('Orçamento'!A14:A45,'Orçamento'!A7,'Orçamento'!M14:M45)</x:f>
        <x:v>1900.53</x:v>
      </x:c>
      <x:c r="G10" s="44" t="n">
        <x:f>SUMIF('Orçamento'!A14:A45,'Orçamento'!A8,'Orçamento'!M14:M45)</x:f>
        <x:v>1490.63</x:v>
      </x:c>
      <x:c r="H10" s="20" t="n">
        <x:f>SUM(D10:G10)</x:f>
        <x:v>8072.88</x:v>
      </x:c>
    </x:row>
    <x:row r="11" ht="30" customHeight="1">
      <x:c r="A11" s="47" t="str">
        <x:v>TOTAL</x:v>
      </x:c>
      <x:c r="B11" s="47" t="n">
        <x:f>SUM(B7:B10)</x:f>
        <x:v>31</x:v>
      </x:c>
      <x:c r="C11" s="47" t="n">
        <x:f>SUM(C7:C10)</x:f>
        <x:v>36</x:v>
      </x:c>
      <x:c r="D11" s="48" t="n">
        <x:f>SUM(D7:D10)</x:f>
        <x:v>43810.87</x:v>
      </x:c>
      <x:c r="E11" s="48" t="n">
        <x:f>SUM(E7:E10)</x:f>
        <x:v>3309.08</x:v>
      </x:c>
      <x:c r="F11" s="48" t="n">
        <x:f>SUM(F7:F10)</x:f>
        <x:v>7553.059999999999</x:v>
      </x:c>
      <x:c r="G11" s="48" t="n">
        <x:f>SUM(G7:G10)</x:f>
        <x:v>5300.02</x:v>
      </x:c>
      <x:c r="H11" s="20" t="n">
        <x:f>SUM(H7:H10)</x:f>
        <x:v>59973.030000000006</x:v>
      </x:c>
    </x:row>
    <x:row r="12">
      <x:c r="A12" s="41"/>
      <x:c r="B12" s="41"/>
      <x:c r="C12" s="41"/>
      <x:c r="D12" s="44"/>
      <x:c r="E12" s="44"/>
      <x:c r="F12" s="44"/>
      <x:c r="G12" s="44"/>
      <x:c r="H12" s="20"/>
    </x:row>
    <x:row r="13">
      <x:c r="A13" s="41" t="str">
        <x:v>Conferência com orçamento geral (deve ser zero)</x:v>
      </x:c>
      <x:c r="B13" s="41"/>
      <x:c r="C13" s="41"/>
      <x:c r="D13" s="44"/>
      <x:c r="E13" s="44"/>
      <x:c r="F13" s="44"/>
      <x:c r="G13" s="44"/>
      <x:c r="H13" s="20" t="n">
        <x:f>H11-'Orçamento'!B9</x:f>
        <x:v>7.275957614183426e-12</x:v>
      </x:c>
    </x:row>
    <x:row r="14">
      <x:c r="A14" s="41"/>
      <x:c r="B14" s="41"/>
      <x:c r="C14" s="41"/>
      <x:c r="D14" s="41"/>
      <x:c r="E14" s="41"/>
      <x:c r="F14" s="41"/>
      <x:c r="G14" s="41"/>
    </x:row>
    <x:row r="15">
      <x:c r="A15" s="41" t="str">
        <x:v>Montagem: estimativa de materiais; R$ 440,00 do grupo correspondem a provisões a cotar.</x:v>
      </x:c>
      <x:c r="B15" s="41"/>
      <x:c r="C15" s="41"/>
      <x:c r="D15" s="41"/>
      <x:c r="E15" s="41"/>
      <x:c r="F15" s="41"/>
      <x:c r="G15" s="41"/>
    </x:row>
    <x:row r="16">
      <x:c r="A16" s="41" t="str">
        <x:v>Os 31 terminais são contagem de pontos, não equipamentos comprados. Seus custos estão nas terminações e nos cabos.</x:v>
      </x:c>
      <x:c r="B16" s="41"/>
      <x:c r="C16" s="41"/>
      <x:c r="D16" s="41"/>
      <x:c r="E16" s="41"/>
      <x:c r="F16" s="41"/>
      <x:c r="G16" s="41"/>
    </x:row>
    <x:row r="17">
      <x:c r="A17" s="41"/>
      <x:c r="B17" s="41"/>
      <x:c r="C17" s="41"/>
      <x:c r="D17" s="41"/>
      <x:c r="E17" s="41"/>
      <x:c r="F17" s="41"/>
      <x:c r="G17" s="41"/>
    </x:row>
    <x:row r="18">
      <x:c r="A18" s="41"/>
      <x:c r="B18" s="41"/>
      <x:c r="C18" s="41"/>
      <x:c r="D18" s="41"/>
      <x:c r="E18" s="41"/>
      <x:c r="F18" s="41"/>
      <x:c r="G18" s="41"/>
    </x:row>
  </x:sheetData>
  <x:pageMargins left="0.7" right="0.7" top="0.75" bottom="0.75" header="0.3" footer="0.3"/>
</x:worksheet>
</file>