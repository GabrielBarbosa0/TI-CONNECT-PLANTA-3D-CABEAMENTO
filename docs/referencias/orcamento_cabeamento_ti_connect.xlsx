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f5bead51404e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rçamento" sheetId="1" r:id="R70a8a3b9f27d4870"/>
    <x:sheet xmlns:r="http://schemas.openxmlformats.org/officeDocument/2006/relationships" name="Térreo" sheetId="2" r:id="Ra09b3015cceb4dfc"/>
    <x:sheet xmlns:r="http://schemas.openxmlformats.org/officeDocument/2006/relationships" name="1º andar" sheetId="3" r:id="Rf6da4a2837414c23"/>
    <x:sheet xmlns:r="http://schemas.openxmlformats.org/officeDocument/2006/relationships" name="2º andar" sheetId="4" r:id="R8cafe8c3a4b14173"/>
    <x:sheet xmlns:r="http://schemas.openxmlformats.org/officeDocument/2006/relationships" name="3º andar" sheetId="5" r:id="R9a2d79aa84214179"/>
    <x:sheet xmlns:r="http://schemas.openxmlformats.org/officeDocument/2006/relationships" name="Resumo por andar" sheetId="6" r:id="R341eef98c6f845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&quot;R$ &quot;#,##0.00"/>
    <x:numFmt numFmtId="201" formatCode="&quot;R$&quot; #,##0.00"/>
    <x:numFmt numFmtId="202" formatCode="0"/>
  </x:numFmts>
  <x:fonts count="11">
    <x:font>
      <x:sz val="11"/>
      <x:name val="Carlito"/>
    </x:font>
    <x:font>
      <x:sz val="10"/>
      <x:color rgb="FF172333"/>
      <x:name val="Arial"/>
    </x:font>
    <x:font>
      <x:b/>
      <x:sz val="16"/>
      <x:color rgb="FF10263E"/>
      <x:name val="Arial"/>
    </x:font>
    <x:font>
      <x:sz val="10"/>
      <x:color rgb="FF5B6675"/>
      <x:name val="Arial"/>
    </x:font>
    <x:font>
      <x:b/>
      <x:sz val="11"/>
      <x:color rgb="FF10263E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1"/>
      <x:color rgb="FFFFFFFF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1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8F2F8"/>
      </x:patternFill>
    </x:fill>
    <x:fill>
      <x:patternFill patternType="solid">
        <x:fgColor rgb="FF173A57"/>
      </x:patternFill>
    </x:fill>
    <x:fill>
      <x:patternFill patternType="solid">
        <x:fgColor rgb="FF193B56"/>
      </x:patternFill>
    </x:fill>
    <x:fill>
      <x:patternFill patternType="solid">
        <x:fgColor rgb="FFE7F0F5"/>
      </x:patternFill>
    </x:fill>
  </x:fills>
  <x:borders count="4">
    <x:border/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200" fontId="1" fillId="0" borderId="0" xfId="0" applyNumberFormat="1" applyFont="1" applyFill="1" applyBorder="1"/>
    <x:xf numFmtId="200" fontId="4" fillId="2" borderId="0" xfId="0" applyNumberFormat="1" applyFont="1" applyFill="1" applyBorder="1"/>
    <x:xf numFmtId="200" fontId="1" fillId="0" borderId="1" xfId="0" applyNumberFormat="1" applyFont="1" applyFill="1" applyBorder="1"/>
    <x:xf numFmtId="200" fontId="1" fillId="0" borderId="2" xfId="0" applyNumberFormat="1" applyFont="1" applyFill="1" applyBorder="1"/>
    <x:xf numFmtId="200" fontId="1" fillId="0" borderId="3" xfId="0" applyNumberFormat="1" applyFont="1" applyFill="1" applyBorder="1"/>
    <x:xf numFmtId="201" fontId="1" fillId="0" borderId="1" xfId="0" applyNumberFormat="1" applyFont="1" applyFill="1" applyBorder="1"/>
    <x:xf numFmtId="201" fontId="1" fillId="0" borderId="2" xfId="0" applyNumberFormat="1" applyFont="1" applyFill="1" applyBorder="1"/>
    <x:xf numFmtId="201" fontId="1" fillId="0" borderId="3" xfId="0" applyNumberFormat="1" applyFont="1" applyFill="1" applyBorder="1"/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202" fontId="1" fillId="0" borderId="1" xfId="0" applyNumberFormat="1" applyFont="1" applyFill="1" applyBorder="1"/>
    <x:xf numFmtId="202" fontId="1" fillId="0" borderId="2" xfId="0" applyNumberFormat="1" applyFont="1" applyFill="1" applyBorder="1"/>
    <x:xf numFmtId="202" fontId="1" fillId="0" borderId="3" xfId="0" applyNumberFormat="1" applyFont="1" applyFill="1" applyBorder="1"/>
    <x:xf numFmtId="202" fontId="1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/>
    <x:xf numFmtId="0" fontId="5" fillId="4" borderId="0" xfId="0" applyNumberFormat="1" applyFont="1" applyFill="1" applyBorder="1"/>
    <x:xf numFmtId="201" fontId="6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/>
    <x:xf numFmtId="0" fontId="6" fillId="5" borderId="0" xfId="0" applyNumberFormat="1" applyFont="1" applyFill="1" applyBorder="1"/>
    <x:xf numFmtId="201" fontId="6" fillId="5" borderId="0" xfId="0" applyNumberFormat="1" applyFont="1" applyFill="1" applyBorder="1"/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8" fillId="0" borderId="0" xfId="0" applyNumberFormat="1" applyFont="1" applyFill="1" applyBorder="1"/>
    <x:xf numFmtId="0" fontId="8" fillId="4" borderId="0" xfId="0" applyNumberFormat="1" applyFont="1" applyFill="1" applyBorder="1"/>
    <x:xf numFmtId="0" fontId="9" fillId="4" borderId="0" xfId="0" applyNumberFormat="1" applyFont="1" applyFill="1" applyBorder="1"/>
    <x:xf numFmtId="201" fontId="8" fillId="0" borderId="0" xfId="0" applyNumberFormat="1" applyFont="1" applyFill="1" applyBorder="1"/>
    <x:xf numFmtId="0" fontId="8" fillId="5" borderId="0" xfId="0" applyNumberFormat="1" applyFont="1" applyFill="1" applyBorder="1"/>
    <x:xf numFmtId="201" fontId="8" fillId="5" borderId="0" xfId="0" applyNumberFormat="1" applyFont="1" applyFill="1" applyBorder="1"/>
    <x:xf numFmtId="0" fontId="10" fillId="5" borderId="0" xfId="0" applyNumberFormat="1" applyFont="1" applyFill="1" applyBorder="1"/>
    <x:xf numFmtId="201" fontId="10" fillId="5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5bfa968131469b" /><Relationship Type="http://schemas.openxmlformats.org/officeDocument/2006/relationships/theme" Target="/xl/theme/theme1.xml" Id="R67675fb4cd7e4160" /><Relationship Type="http://schemas.openxmlformats.org/officeDocument/2006/relationships/sharedStrings" Target="/xl/sharedStrings.xml" Id="R7f709717d5ba4c13" /><Relationship Type="http://schemas.openxmlformats.org/officeDocument/2006/relationships/worksheet" Target="/xl/worksheets/sheet1.xml" Id="R70a8a3b9f27d4870" /><Relationship Type="http://schemas.openxmlformats.org/officeDocument/2006/relationships/worksheet" Target="/xl/worksheets/sheet2.xml" Id="Ra09b3015cceb4dfc" /><Relationship Type="http://schemas.openxmlformats.org/officeDocument/2006/relationships/worksheet" Target="/xl/worksheets/sheet3.xml" Id="Rf6da4a2837414c23" /><Relationship Type="http://schemas.openxmlformats.org/officeDocument/2006/relationships/worksheet" Target="/xl/worksheets/sheet4.xml" Id="R8cafe8c3a4b14173" /><Relationship Type="http://schemas.openxmlformats.org/officeDocument/2006/relationships/worksheet" Target="/xl/worksheets/sheet5.xml" Id="R9a2d79aa84214179" /><Relationship Type="http://schemas.openxmlformats.org/officeDocument/2006/relationships/worksheet" Target="/xl/worksheets/sheet6.xml" Id="R341eef98c6f845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20" hidden="0" customWidth="1"/>
    <x:col min="2" max="2" width="70" hidden="0" customWidth="1"/>
    <x:col min="3" max="3" width="10" hidden="0" customWidth="1"/>
    <x:col min="4" max="4" width="10" hidden="0" customWidth="1"/>
    <x:col min="5" max="5" width="19" hidden="0" customWidth="1"/>
    <x:col min="6" max="6" width="19" hidden="0" customWidth="1"/>
    <x:col min="7" max="7" width="78" hidden="0" customWidth="1"/>
    <x:col min="8" max="8" width="76" hidden="0" customWidth="1"/>
    <x:col min="9" max="9" width="52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2">
      <x:c r="A2" s="2" t="str">
        <x:v>Orçamento principal de materiais | TI Connect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Referência de preços: 29/09 a 01/10/2026 · Valores em R$ à vista/Pix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23" customHeight="1">
      <x:c r="A5" s="1" t="str">
        <x:v>Equipamentos</x:v>
      </x:c>
      <x:c r="B5" s="11" t="n">
        <x:f>SUMIF(A14:A38,"Equipamentos",F14:F38)</x:f>
        <x:v>126549.87</x:v>
      </x:c>
      <x:c r="C5" s="1"/>
      <x:c r="D5" s="1"/>
      <x:c r="E5" s="1"/>
      <x:c r="F5" s="1"/>
      <x:c r="G5" s="1"/>
      <x:c r="H5" s="1"/>
    </x:row>
    <x:row r="6" ht="23" customHeight="1">
      <x:c r="A6" s="1" t="str">
        <x:v>Cabeamento</x:v>
      </x:c>
      <x:c r="B6" s="11" t="n">
        <x:f>SUMIF(A14:A38,"Cabeamento",F14:F38)</x:f>
        <x:v>3309.08</x:v>
      </x:c>
      <x:c r="C6" s="1"/>
      <x:c r="D6" s="1"/>
      <x:c r="E6" s="1"/>
      <x:c r="F6" s="1"/>
      <x:c r="G6" s="1"/>
      <x:c r="H6" s="1"/>
    </x:row>
    <x:row r="7" ht="23" customHeight="1">
      <x:c r="A7" s="1" t="str">
        <x:v>Materiais de instalação</x:v>
      </x:c>
      <x:c r="B7" s="11" t="n">
        <x:f>SUMIF(A14:A38,"Instalação",F14:F38)</x:f>
        <x:v>7553.06</x:v>
      </x:c>
      <x:c r="C7" s="1"/>
      <x:c r="D7" s="1"/>
      <x:c r="E7" s="1"/>
      <x:c r="F7" s="1"/>
      <x:c r="G7" s="1"/>
      <x:c r="H7" s="1"/>
    </x:row>
    <x:row r="8" ht="23" customHeight="1">
      <x:c r="A8" s="5" t="str">
        <x:v>TOTAL DE MATERIAIS</x:v>
      </x:c>
      <x:c r="B8" s="12" t="n">
        <x:f>SUM(B5:B7)</x:f>
        <x:v>137412.01</x:v>
      </x:c>
      <x:c r="C8" s="1"/>
      <x:c r="D8" s="1"/>
      <x:c r="E8" s="1"/>
      <x:c r="F8" s="1"/>
      <x:c r="G8" s="1"/>
      <x:c r="H8" s="1"/>
    </x:row>
    <x:row r="9">
      <x:c r="A9" s="1"/>
      <x:c r="B9" s="1"/>
      <x:c r="C9" s="1"/>
      <x:c r="D9" s="1"/>
      <x:c r="E9" s="1"/>
      <x:c r="F9" s="1"/>
      <x:c r="G9" s="1"/>
      <x:c r="H9" s="1"/>
    </x:row>
    <x:row r="10">
      <x:c r="A10" s="1" t="str">
        <x:v>Dimensionamento: 4 pavimentos · 31 estações cabeadas · 5 APs · 2 servidores · 36 pontos de rede.</x:v>
      </x:c>
      <x:c r="B10" s="1"/>
      <x:c r="C10" s="1"/>
      <x:c r="D10" s="1"/>
      <x:c r="E10" s="1"/>
      <x:c r="F10" s="1"/>
      <x:c r="G10" s="1"/>
      <x:c r="H10" s="1"/>
    </x:row>
    <x:row r="11">
      <x:c r="A11" s="1" t="str">
        <x:v>Estimativa de materiais. Mão de obra, fusões, certificação, infraestrutura civil/elétrica, frete, licenças e backup externo não incluídos.</x:v>
      </x:c>
      <x:c r="B11" s="1"/>
      <x:c r="C11" s="1"/>
      <x:c r="D11" s="1"/>
      <x:c r="E11" s="1"/>
      <x:c r="F11" s="1"/>
      <x:c r="G11" s="1"/>
      <x:c r="H11" s="1"/>
    </x:row>
    <x:row r="12">
      <x:c r="A12" s="1"/>
      <x:c r="B12" s="1"/>
      <x:c r="C12" s="1"/>
      <x:c r="D12" s="1"/>
      <x:c r="E12" s="1"/>
      <x:c r="F12" s="1"/>
      <x:c r="G12" s="1"/>
      <x:c r="H12" s="1"/>
    </x:row>
    <x:row r="13" ht="28" customHeight="1">
      <x:c r="A13" s="7" t="str">
        <x:v>Grupo</x:v>
      </x:c>
      <x:c r="B13" s="7" t="str">
        <x:v>Item / especificação de referência</x:v>
      </x:c>
      <x:c r="C13" s="7" t="str">
        <x:v>Qtd.</x:v>
      </x:c>
      <x:c r="D13" s="7" t="str">
        <x:v>Un.</x:v>
      </x:c>
      <x:c r="E13" s="7" t="str">
        <x:v>Preço unit. (R$)</x:v>
      </x:c>
      <x:c r="F13" s="7" t="str">
        <x:v>Total (R$)</x:v>
      </x:c>
      <x:c r="G13" s="7" t="str">
        <x:v>Base da quantidade / premissa</x:v>
      </x:c>
      <x:c r="H13" s="7" t="str">
        <x:v>Fonte do preço (URL)</x:v>
      </x:c>
      <x:c r="I13" t="str">
        <x:v>Modelo / referência técnica</x:v>
      </x:c>
      <x:c r="J13" s="40" t="str">
        <x:v>Térreo</x:v>
      </x:c>
      <x:c r="K13" s="40" t="str">
        <x:v>1º andar</x:v>
      </x:c>
      <x:c r="L13" s="40" t="str">
        <x:v>2º andar</x:v>
      </x:c>
      <x:c r="M13" s="40" t="str">
        <x:v>3º andar</x:v>
      </x:c>
    </x:row>
    <x:row r="14" ht="42" customHeight="1">
      <x:c r="A14" s="8" t="str">
        <x:v>Equipamentos</x:v>
      </x:c>
      <x:c r="B14" s="27" t="str">
        <x:v>Rack de parede 19" 12U Intelbras MRD 1257</x:v>
      </x:c>
      <x:c r="C14" s="21" t="n">
        <x:v>4</x:v>
      </x:c>
      <x:c r="D14" s="8" t="str">
        <x:v>un</x:v>
      </x:c>
      <x:c r="E14" s="16" t="n">
        <x:v>1014.42</x:v>
      </x:c>
      <x:c r="F14" s="16" t="n">
        <x:f>C14*E14</x:f>
        <x:v>4057.68</x:v>
      </x:c>
      <x:c r="G14" s="8" t="str">
        <x:v>RACK-T / RACK-CPD / RACK-2 / RACK-3; servidores em torre fora do rack</x:v>
      </x:c>
      <x:c r="H14" s="8" t="str">
        <x:v>https://www.kabum.com.br/produto/303757/mini-rack-desmontavel-de-parede-12u-19-x-570mm-intelbras-mrd-1257</x:v>
      </x:c>
      <x:c r="I14" s="26" t="str">
        <x:v>Intelbras MRD 1257</x:v>
      </x:c>
      <x:c r="J14" s="20" t="n">
        <x:f>'Térreo'!G7</x:f>
        <x:v>1014.42</x:v>
      </x:c>
      <x:c r="K14" s="20" t="n">
        <x:f>'1º andar'!G7</x:f>
        <x:v>1014.42</x:v>
      </x:c>
      <x:c r="L14" s="20" t="n">
        <x:f>'2º andar'!G7</x:f>
        <x:v>1014.42</x:v>
      </x:c>
      <x:c r="M14" s="20" t="n">
        <x:f>'3º andar'!G7</x:f>
        <x:v>1014.42</x:v>
      </x:c>
    </x:row>
    <x:row r="15" ht="42" customHeight="1">
      <x:c r="A15" s="9" t="str">
        <x:v>Equipamentos</x:v>
      </x:c>
      <x:c r="B15" s="28" t="str">
        <x:v>Switch acesso térreo TP-Link TL-SG108E, 8xGbE Easy Smart</x:v>
      </x:c>
      <x:c r="C15" s="22" t="n">
        <x:v>1</x:v>
      </x:c>
      <x:c r="D15" s="9" t="str">
        <x:v>un</x:v>
      </x:c>
      <x:c r="E15" s="17" t="n">
        <x:v>332.38</x:v>
      </x:c>
      <x:c r="F15" s="17" t="n">
        <x:f>C15*E15</x:f>
        <x:v>332.38</x:v>
      </x:c>
      <x:c r="G15" s="9" t="str">
        <x:v>SW-T-01: 1 PC + uplink; 6 portas livres; VLAN 802.1Q, sem PoE/SFP</x:v>
      </x:c>
      <x:c r="H15" s="9" t="str">
        <x:v>https://www.kabum.com.br/produto/1049615/switch-tp-link-tl-sg108e-8-portas-10-100-1000-unmanaged-gigabit-ethernet-metal-montagem-em-rack-ideal-rede-profissional</x:v>
      </x:c>
      <x:c r="I15" s="26" t="str">
        <x:v>TP-Link TL-SG108E</x:v>
      </x:c>
      <x:c r="J15" s="20" t="n">
        <x:f>'Térreo'!G8</x:f>
        <x:v>332.38</x:v>
      </x:c>
      <x:c r="K15" s="20" t="n">
        <x:v>0</x:v>
      </x:c>
      <x:c r="L15" s="20" t="n">
        <x:v>0</x:v>
      </x:c>
      <x:c r="M15" s="20" t="n">
        <x:v>0</x:v>
      </x:c>
    </x:row>
    <x:row r="16" ht="42" customHeight="1">
      <x:c r="A16" s="9" t="str">
        <x:v>Equipamentos</x:v>
      </x:c>
      <x:c r="B16" s="28" t="str">
        <x:v>Switch acesso 1º/3º TP-Link TL-SG116E, 16xGbE Easy Smart</x:v>
      </x:c>
      <x:c r="C16" s="22" t="n">
        <x:v>2</x:v>
      </x:c>
      <x:c r="D16" s="9" t="str">
        <x:v>un</x:v>
      </x:c>
      <x:c r="E16" s="17" t="n">
        <x:v>412.74</x:v>
      </x:c>
      <x:c r="F16" s="17" t="n">
        <x:f>C16*E16</x:f>
        <x:v>825.48</x:v>
      </x:c>
      <x:c r="G16" s="9" t="str">
        <x:v>N3: 6 PCs + 2 servidores + uplink = 9; 3º: 10 PCs + uplink = 11; sem PoE/SFP</x:v>
      </x:c>
      <x:c r="H16" s="9" t="str">
        <x:v>https://www.kabum.com.br/produto/384130/switch-tp-link-16-portas-10-100-1000-mbps-tl-sg116e</x:v>
      </x:c>
      <x:c r="I16" s="26" t="str">
        <x:v>TP-Link TL-SG116E</x:v>
      </x:c>
      <x:c r="J16" s="20" t="n">
        <x:v>0</x:v>
      </x:c>
      <x:c r="K16" s="20" t="n">
        <x:f>'1º andar'!G8</x:f>
        <x:v>412.74</x:v>
      </x:c>
      <x:c r="L16" s="20" t="n">
        <x:v>0</x:v>
      </x:c>
      <x:c r="M16" s="20" t="n">
        <x:f>'3º andar'!G8</x:f>
        <x:v>412.74</x:v>
      </x:c>
    </x:row>
    <x:row r="17" ht="42" customHeight="1">
      <x:c r="A17" s="9" t="str">
        <x:v>Equipamentos</x:v>
      </x:c>
      <x:c r="B17" s="28" t="str">
        <x:v>Switch acesso 2º TP-Link Omada ES224G, 24xGbE Easy Managed</x:v>
      </x:c>
      <x:c r="C17" s="22" t="n">
        <x:v>1</x:v>
      </x:c>
      <x:c r="D17" s="9" t="str">
        <x:v>un</x:v>
      </x:c>
      <x:c r="E17" s="17" t="n">
        <x:v>999.99</x:v>
      </x:c>
      <x:c r="F17" s="17" t="n">
        <x:f>C17*E17</x:f>
        <x:v>999.99</x:v>
      </x:c>
      <x:c r="G17" s="9" t="str">
        <x:v>SW-TMK-01: 14 PCs + uplink = 15; 9 portas livres; sem PoE/SFP</x:v>
      </x:c>
      <x:c r="H17" s="9" t="str">
        <x:v>https://www.waz.com.br/switch-gerenciavel-24-portas-gigabit-tp-link-es224g-133595-html/p</x:v>
      </x:c>
      <x:c r="I17" s="26" t="str">
        <x:v>TP-Link ES224G</x:v>
      </x:c>
      <x:c r="J17" s="20" t="n">
        <x:v>0</x:v>
      </x:c>
      <x:c r="K17" s="20" t="n">
        <x:v>0</x:v>
      </x:c>
      <x:c r="L17" s="20" t="n">
        <x:f>'2º andar'!G8</x:f>
        <x:v>999.99</x:v>
      </x:c>
      <x:c r="M17" s="20" t="n">
        <x:v>0</x:v>
      </x:c>
    </x:row>
    <x:row r="18" ht="42" customHeight="1">
      <x:c r="A18" s="9" t="str">
        <x:v>Equipamentos</x:v>
      </x:c>
      <x:c r="B18" s="28" t="str">
        <x:v>Switch distribuição/PoE TP-Link TL-SG2210MP, 8xPoE+ + 2 SFP, 150 W</x:v>
      </x:c>
      <x:c r="C18" s="22" t="n">
        <x:v>4</x:v>
      </x:c>
      <x:c r="D18" s="9" t="str">
        <x:v>un</x:v>
      </x:c>
      <x:c r="E18" s="17" t="n">
        <x:v>1044</x:v>
      </x:c>
      <x:c r="F18" s="17" t="n">
        <x:f>C18*E18</x:f>
        <x:v>4176</x:v>
      </x:c>
      <x:c r="G18" s="9" t="str">
        <x:v>SW-BB-T/1/2/3: backbone, uplink local e 5 APs; 2 SFP nos andares intermediários</x:v>
      </x:c>
      <x:c r="H18" s="9" t="str">
        <x:v>https://www.magazineluiza.com.br/switch-gigabit-tp-link-8-portas-2-sfp-sg2210mp-poe-150w/p/efbdb23fa4/in/swit/</x:v>
      </x:c>
      <x:c r="I18" s="26" t="str">
        <x:v>TP-Link TL-SG2210MP</x:v>
      </x:c>
      <x:c r="J18" s="20" t="n">
        <x:f>'Térreo'!G9</x:f>
        <x:v>1044</x:v>
      </x:c>
      <x:c r="K18" s="20" t="n">
        <x:f>'1º andar'!G9</x:f>
        <x:v>1044</x:v>
      </x:c>
      <x:c r="L18" s="20" t="n">
        <x:f>'2º andar'!G9</x:f>
        <x:v>1044</x:v>
      </x:c>
      <x:c r="M18" s="20" t="n">
        <x:f>'3º andar'!G9</x:f>
        <x:v>1044</x:v>
      </x:c>
    </x:row>
    <x:row r="19" ht="42" customHeight="1">
      <x:c r="A19" s="9" t="str">
        <x:v>Equipamentos</x:v>
      </x:c>
      <x:c r="B19" s="28" t="str">
        <x:v>Roteador/gateway TP-Link ER605 — exigir revisão V2</x:v>
      </x:c>
      <x:c r="C19" s="22" t="n">
        <x:v>1</x:v>
      </x:c>
      <x:c r="D19" s="9" t="str">
        <x:v>un</x:v>
      </x:c>
      <x:c r="E19" s="17" t="n">
        <x:v>459.99</x:v>
      </x:c>
      <x:c r="F19" s="17" t="n">
        <x:f>C19*E19</x:f>
        <x:v>459.99</x:v>
      </x:c>
      <x:c r="G19" s="9" t="str">
        <x:v>FW-01: gateway ER605 V2, NAT, VLAN e ACL; portas Gigabit; Wi-Fi nos APs</x:v>
      </x:c>
      <x:c r="H19" s="9" t="str">
        <x:v>https://www.pichau.com.br/roteador-tp-link-omada-vpn-multi-wan-gigabit-er605</x:v>
      </x:c>
      <x:c r="I19" s="26" t="str">
        <x:v>TP-Link ER605 V2</x:v>
      </x:c>
      <x:c r="J19" s="20" t="n">
        <x:f>'Térreo'!G10</x:f>
        <x:v>459.99</x:v>
      </x:c>
      <x:c r="K19" s="20" t="n">
        <x:v>0</x:v>
      </x:c>
      <x:c r="L19" s="20" t="n">
        <x:v>0</x:v>
      </x:c>
      <x:c r="M19" s="20" t="n">
        <x:v>0</x:v>
      </x:c>
    </x:row>
    <x:row r="20" ht="42" customHeight="1">
      <x:c r="A20" s="9" t="str">
        <x:v>Equipamentos</x:v>
      </x:c>
      <x:c r="B20" s="28" t="str">
        <x:v>AP corporativo TP-Link EAP610 Wi-Fi 6, 802.3at</x:v>
      </x:c>
      <x:c r="C20" s="22" t="n">
        <x:v>4</x:v>
      </x:c>
      <x:c r="D20" s="9" t="str">
        <x:v>un</x:v>
      </x:c>
      <x:c r="E20" s="17" t="n">
        <x:v>849.9</x:v>
      </x:c>
      <x:c r="F20" s="17" t="n">
        <x:f>C20*E20</x:f>
        <x:v>3399.6</x:v>
      </x:c>
      <x:c r="G20" s="9" t="str">
        <x:v>AP-CORP-T, AP-1-01, AP-2-01, AP-3-01; um por pavimento</x:v>
      </x:c>
      <x:c r="H20" s="9" t="str">
        <x:v>https://www.kabum.com.br/produto/388006/access-point-tp-link-eap610-ax1800-1775mbps-omada-wi-fi-6-montavel-em-teto</x:v>
      </x:c>
      <x:c r="I20" s="26" t="str">
        <x:v>TP-Link EAP610</x:v>
      </x:c>
      <x:c r="J20" s="20" t="n">
        <x:f>'Térreo'!G11</x:f>
        <x:v>849.9</x:v>
      </x:c>
      <x:c r="K20" s="20" t="n">
        <x:f>'1º andar'!G10</x:f>
        <x:v>849.9</x:v>
      </x:c>
      <x:c r="L20" s="20" t="n">
        <x:f>'2º andar'!G10</x:f>
        <x:v>849.9</x:v>
      </x:c>
      <x:c r="M20" s="20" t="n">
        <x:f>'3º andar'!G10</x:f>
        <x:v>849.9</x:v>
      </x:c>
    </x:row>
    <x:row r="21" ht="42" customHeight="1">
      <x:c r="A21" s="9" t="str">
        <x:v>Equipamentos</x:v>
      </x:c>
      <x:c r="B21" s="28" t="str">
        <x:v>AP visitantes TP-Link EAP610 Wi-Fi 6, 802.3at</x:v>
      </x:c>
      <x:c r="C21" s="22" t="n">
        <x:v>1</x:v>
      </x:c>
      <x:c r="D21" s="9" t="str">
        <x:v>un</x:v>
      </x:c>
      <x:c r="E21" s="17" t="n">
        <x:v>849.9</x:v>
      </x:c>
      <x:c r="F21" s="17" t="n">
        <x:f>C21*E21</x:f>
        <x:v>849.9</x:v>
      </x:c>
      <x:c r="G21" s="9" t="str">
        <x:v>AP-VIS-01 na recepção; VLAN 30/SSID visitantes isolados</x:v>
      </x:c>
      <x:c r="H21" s="9" t="str">
        <x:v>https://www.kabum.com.br/produto/388006/access-point-tp-link-eap610-ax1800-1775mbps-omada-wi-fi-6-montavel-em-teto</x:v>
      </x:c>
      <x:c r="I21" s="26" t="str">
        <x:v>TP-Link EAP610</x:v>
      </x:c>
      <x:c r="J21" s="20" t="n">
        <x:f>'Térreo'!G12</x:f>
        <x:v>849.9</x:v>
      </x:c>
      <x:c r="K21" s="20" t="n">
        <x:v>0</x:v>
      </x:c>
      <x:c r="L21" s="20" t="n">
        <x:v>0</x:v>
      </x:c>
      <x:c r="M21" s="20" t="n">
        <x:v>0</x:v>
      </x:c>
    </x:row>
    <x:row r="22" ht="42" customHeight="1">
      <x:c r="A22" s="9" t="str">
        <x:v>Equipamentos</x:v>
      </x:c>
      <x:c r="B22" s="28" t="str">
        <x:v>Servidor principal Lenovo ST50 V3 Xeon E-2414, 16 GB, 2 TB</x:v>
      </x:c>
      <x:c r="C22" s="22" t="n">
        <x:v>1</x:v>
      </x:c>
      <x:c r="D22" s="9" t="str">
        <x:v>un</x:v>
      </x:c>
      <x:c r="E22" s="17" t="n">
        <x:v>11287.48</x:v>
      </x:c>
      <x:c r="F22" s="17" t="n">
        <x:f>C22*E22</x:f>
        <x:v>11287.48</x:v>
      </x:c>
      <x:c r="G22" s="9" t="str">
        <x:v>SRV-01: SKU 7DF3S3DG00, 16 GB / 2 TB, sem SO; dimensionar aplicações e memória ECC</x:v>
      </x:c>
      <x:c r="H22" s="9" t="str">
        <x:v>https://www.hdstore.com.br/servidor-lenovo-thinksystem-st50-v3-xeon-e-2414-4c-26ghz-16gb-2tb-300w-3-anos-de-garantia</x:v>
      </x:c>
      <x:c r="I22" s="26" t="str">
        <x:v>Lenovo ST50 V3 / 7DF3S3DG00</x:v>
      </x:c>
      <x:c r="J22" s="20" t="n">
        <x:v>0</x:v>
      </x:c>
      <x:c r="K22" s="20" t="n">
        <x:f>'1º andar'!G11</x:f>
        <x:v>11287.48</x:v>
      </x:c>
      <x:c r="L22" s="20" t="n">
        <x:v>0</x:v>
      </x:c>
      <x:c r="M22" s="20" t="n">
        <x:v>0</x:v>
      </x:c>
    </x:row>
    <x:row r="23" ht="42" customHeight="1">
      <x:c r="A23" s="9" t="str">
        <x:v>Equipamentos</x:v>
      </x:c>
      <x:c r="B23" s="28" t="str">
        <x:v>Servidor backup Lenovo ST50 V3 Xeon E-2414, 16 GB, 2 TB</x:v>
      </x:c>
      <x:c r="C23" s="22" t="n">
        <x:v>1</x:v>
      </x:c>
      <x:c r="D23" s="9" t="str">
        <x:v>un</x:v>
      </x:c>
      <x:c r="E23" s="17" t="n">
        <x:v>11287.48</x:v>
      </x:c>
      <x:c r="F23" s="17" t="n">
        <x:f>C23*E23</x:f>
        <x:v>11287.48</x:v>
      </x:c>
      <x:c r="G23" s="9" t="str">
        <x:v>BKP-01: 16 GB / 2 TB brutos, sem SO; dimensionar retenção e redundância de discos</x:v>
      </x:c>
      <x:c r="H23" s="9" t="str">
        <x:v>https://www.hdstore.com.br/servidor-lenovo-thinksystem-st50-v3-xeon-e-2414-4c-26ghz-16gb-2tb-300w-3-anos-de-garantia</x:v>
      </x:c>
      <x:c r="I23" s="26" t="str">
        <x:v>Lenovo ST50 V3 / 7DF3S3DG00</x:v>
      </x:c>
      <x:c r="J23" s="20" t="n">
        <x:v>0</x:v>
      </x:c>
      <x:c r="K23" s="20" t="n">
        <x:f>'1º andar'!G12</x:f>
        <x:v>11287.48</x:v>
      </x:c>
      <x:c r="L23" s="20" t="n">
        <x:v>0</x:v>
      </x:c>
      <x:c r="M23" s="20" t="n">
        <x:v>0</x:v>
      </x:c>
    </x:row>
    <x:row r="24" ht="42" customHeight="1">
      <x:c r="A24" s="9" t="str">
        <x:v>Equipamentos</x:v>
      </x:c>
      <x:c r="B24" s="28" t="str">
        <x:v>Computador completo BluePC PRO CDBP-PRO142, i3-12100F, 8 GB, SSD 256 GB</x:v>
      </x:c>
      <x:c r="C24" s="22" t="n">
        <x:v>31</x:v>
      </x:c>
      <x:c r="D24" s="9" t="str">
        <x:v>un</x:v>
      </x:c>
      <x:c r="E24" s="17" t="n">
        <x:v>2669</x:v>
      </x:c>
      <x:c r="F24" s="17" t="n">
        <x:f>C24*E24</x:f>
        <x:v>82739</x:v>
      </x:c>
      <x:c r="G24" s="9" t="str">
        <x:v>Monitor LED 20", teclado e mouse; LAN Gigabit; Windows 11 Pro trial (licença definitiva não incluída)</x:v>
      </x:c>
      <x:c r="H24" s="9" t="str">
        <x:v>https://www.kabum.com.br/produto/905602/computador-completo-bluepc-pro-intel-core-i3-12100f-12-geracao-8gb-ddr4-ssd-256gb-graficos-geforce-fonte-500w-windows-11-pro-monitor-led-20-</x:v>
      </x:c>
      <x:c r="I24" s="26" t="str">
        <x:v>BluePC CDBP-PRO142</x:v>
      </x:c>
      <x:c r="J24" s="20" t="n">
        <x:f>'Térreo'!G13</x:f>
        <x:v>2669</x:v>
      </x:c>
      <x:c r="K24" s="20" t="n">
        <x:f>'1º andar'!G13</x:f>
        <x:v>16014</x:v>
      </x:c>
      <x:c r="L24" s="20" t="n">
        <x:f>'2º andar'!G11</x:f>
        <x:v>37366</x:v>
      </x:c>
      <x:c r="M24" s="20" t="n">
        <x:f>'3º andar'!G11</x:f>
        <x:v>26690</x:v>
      </x:c>
    </x:row>
    <x:row r="25" ht="42" customHeight="1">
      <x:c r="A25" s="9" t="str">
        <x:v>Equipamentos</x:v>
      </x:c>
      <x:c r="B25" s="28" t="str">
        <x:v>Nobreak Intelbras ATTIV 700 VA para rede de andar</x:v>
      </x:c>
      <x:c r="C25" s="22" t="n">
        <x:v>3</x:v>
      </x:c>
      <x:c r="D25" s="9" t="str">
        <x:v>un</x:v>
      </x:c>
      <x:c r="E25" s="17" t="n">
        <x:v>519.63</x:v>
      </x:c>
      <x:c r="F25" s="17" t="n">
        <x:f>C25*E25</x:f>
        <x:v>1558.8899999999999</x:v>
      </x:c>
      <x:c r="G25" s="9" t="str">
        <x:v>Térreo, 2º e 3º: switches/roteador/APs; tensão e autonomia a validar</x:v>
      </x:c>
      <x:c r="H25" s="9" t="str">
        <x:v>https://www.magazineluiza.com.br/nobreak-attiv-700va-220v-intelbras/p/ebe051fccd/in/nbak/</x:v>
      </x:c>
      <x:c r="I25" s="26" t="str">
        <x:v>Intelbras ATTIV 700 VA / 220 V</x:v>
      </x:c>
      <x:c r="J25" s="20" t="n">
        <x:f>'Térreo'!G14</x:f>
        <x:v>519.63</x:v>
      </x:c>
      <x:c r="K25" s="20" t="n">
        <x:v>0</x:v>
      </x:c>
      <x:c r="L25" s="20" t="n">
        <x:f>'2º andar'!G12</x:f>
        <x:v>519.63</x:v>
      </x:c>
      <x:c r="M25" s="20" t="n">
        <x:f>'3º andar'!G12</x:f>
        <x:v>519.63</x:v>
      </x:c>
    </x:row>
    <x:row r="26" ht="42" customHeight="1">
      <x:c r="A26" s="9" t="str">
        <x:v>Equipamentos</x:v>
      </x:c>
      <x:c r="B26" s="28" t="str">
        <x:v>Nobreak SMS Gamer 1500 VA/1050 W senoidal pura</x:v>
      </x:c>
      <x:c r="C26" s="22" t="n">
        <x:v>2</x:v>
      </x:c>
      <x:c r="D26" s="9" t="str">
        <x:v>un</x:v>
      </x:c>
      <x:c r="E26" s="17" t="n">
        <x:v>2288</x:v>
      </x:c>
      <x:c r="F26" s="17" t="n">
        <x:f>C26*E26</x:f>
        <x:v>4576</x:v>
      </x:c>
      <x:c r="G26" s="9" t="str">
        <x:v>Sala de servidores: 1 para SRV-01, 1 para BKP-01 e rede do 1º andar</x:v>
      </x:c>
      <x:c r="H26" s="9" t="str">
        <x:v>https://www.kabum.com.br/produto/479332/nobreak-sms-gamer-1500va-1050w-senoidal-interativo-entrada-115-220v-saida-115-220v-29600</x:v>
      </x:c>
      <x:c r="I26" s="26" t="str">
        <x:v>SMS Gamer 29600</x:v>
      </x:c>
      <x:c r="J26" s="20" t="n">
        <x:v>0</x:v>
      </x:c>
      <x:c r="K26" s="20" t="n">
        <x:f>'1º andar'!G14</x:f>
        <x:v>4576</x:v>
      </x:c>
      <x:c r="L26" s="20" t="n">
        <x:v>0</x:v>
      </x:c>
      <x:c r="M26" s="20" t="n">
        <x:v>0</x:v>
      </x:c>
    </x:row>
    <x:row r="27" ht="42" customHeight="1">
      <x:c r="A27" s="9" t="str">
        <x:v>Cabeamento</x:v>
      </x:c>
      <x:c r="B27" s="28" t="str">
        <x:v>Cabo U/UTP Cat6 Furukawa SOHOPLUS, caixa 305 m</x:v>
      </x:c>
      <x:c r="C27" s="22" t="n">
        <x:v>2</x:v>
      </x:c>
      <x:c r="D27" s="9" t="str">
        <x:v>cx</x:v>
      </x:c>
      <x:c r="E27" s="17" t="n">
        <x:v>1199.9</x:v>
      </x:c>
      <x:c r="F27" s="17" t="n">
        <x:f>C27*E27</x:f>
        <x:v>2399.8</x:v>
      </x:c>
      <x:c r="G27" s="9" t="str">
        <x:v>36 enlaces; planta: mínimo ortogonal 395,4 m (escala 1u=1m), +20%=474,5 m; 610 m comprados</x:v>
      </x:c>
      <x:c r="H27" s="9" t="str">
        <x:v>https://www.kabum.com.br/produto/109964/cabo-de-rede-cat-6-furukawa-sohoplus-305-metros-branco-23400199</x:v>
      </x:c>
      <x:c r="I27" s="26" t="str">
        <x:v>Furukawa SOHOPLUS 23400199</x:v>
      </x:c>
      <x:c r="J27" s="20" t="n">
        <x:f>'Térreo'!G15</x:f>
        <x:v>133.76</x:v>
      </x:c>
      <x:c r="K27" s="20" t="n">
        <x:f>'1º andar'!G15</x:f>
        <x:v>456.36</x:v>
      </x:c>
      <x:c r="L27" s="20" t="n">
        <x:f>'2º andar'!G13</x:f>
        <x:v>1195.97</x:v>
      </x:c>
      <x:c r="M27" s="20" t="n">
        <x:f>'3º andar'!G13</x:f>
        <x:v>613.71</x:v>
      </x:c>
    </x:row>
    <x:row r="28" ht="42" customHeight="1">
      <x:c r="A28" s="9" t="str">
        <x:v>Cabeamento</x:v>
      </x:c>
      <x:c r="B28" s="28" t="str">
        <x:v>Cabo óptico monomodo 6FO antichamas, rolo 50 m</x:v>
      </x:c>
      <x:c r="C28" s="22" t="n">
        <x:v>2</x:v>
      </x:c>
      <x:c r="D28" s="9" t="str">
        <x:v>rolo</x:v>
      </x:c>
      <x:c r="E28" s="17" t="n">
        <x:v>454.64</x:v>
      </x:c>
      <x:c r="F28" s="17" t="n">
        <x:f>C28*E28</x:f>
        <x:v>909.28</x:v>
      </x:c>
      <x:c r="G28" s="9" t="str">
        <x:v>3 trechos rack–rack; PDF mede shaft 16,33 m; 100 m comprados para percurso lateral</x:v>
      </x:c>
      <x:c r="H28" s="9" t="str">
        <x:v>https://loja.ctmd.eng.br/fibra-optica/9836-cabo-fibra-optica-monomodo-6fo-antichamas-int-ext-p-calhas-50m-.html</x:v>
      </x:c>
      <x:c r="I28" s="26" t="str">
        <x:v>Monomodo 6FO antichamas / 50 m (SKU não informado)</x:v>
      </x:c>
      <x:c r="J28" s="20" t="n">
        <x:f>'Térreo'!G16</x:f>
        <x:v>227.32</x:v>
      </x:c>
      <x:c r="K28" s="20" t="n">
        <x:f>'1º andar'!G16</x:f>
        <x:v>227.32</x:v>
      </x:c>
      <x:c r="L28" s="20" t="n">
        <x:f>'2º andar'!G14</x:f>
        <x:v>227.32</x:v>
      </x:c>
      <x:c r="M28" s="20" t="n">
        <x:f>'3º andar'!G14</x:f>
        <x:v>227.32</x:v>
      </x:c>
    </x:row>
    <x:row r="29" ht="42" customHeight="1">
      <x:c r="A29" s="9" t="str">
        <x:v>Instalação</x:v>
      </x:c>
      <x:c r="B29" s="28" t="str">
        <x:v>Patch panel Cat6 Furukawa 24 portas</x:v>
      </x:c>
      <x:c r="C29" s="22" t="n">
        <x:v>4</x:v>
      </x:c>
      <x:c r="D29" s="9" t="str">
        <x:v>un</x:v>
      </x:c>
      <x:c r="E29" s="17" t="n">
        <x:v>579.9</x:v>
      </x:c>
      <x:c r="F29" s="17" t="n">
        <x:f>C29*E29</x:f>
        <x:v>2319.6</x:v>
      </x:c>
      <x:c r="G29" s="9" t="str">
        <x:v>1 por rack: térreo 3, 1º 7, 2º 15, 3º 11 terminações de área</x:v>
      </x:c>
      <x:c r="H29" s="9" t="str">
        <x:v>https://www.kabum.com.br/produto/474007/patch-panel-furukawa-t568a-b-soho-plus-cat-6-24-portas-35050439</x:v>
      </x:c>
      <x:c r="I29" s="26" t="str">
        <x:v>Furukawa SOHOPLUS 35050439</x:v>
      </x:c>
      <x:c r="J29" s="20" t="n">
        <x:f>'Térreo'!G17</x:f>
        <x:v>579.9</x:v>
      </x:c>
      <x:c r="K29" s="20" t="n">
        <x:f>'1º andar'!G17</x:f>
        <x:v>579.9</x:v>
      </x:c>
      <x:c r="L29" s="20" t="n">
        <x:f>'2º andar'!G15</x:f>
        <x:v>579.9</x:v>
      </x:c>
      <x:c r="M29" s="20" t="n">
        <x:f>'3º andar'!G15</x:f>
        <x:v>579.9</x:v>
      </x:c>
    </x:row>
    <x:row r="30" ht="42" customHeight="1">
      <x:c r="A30" s="9" t="str">
        <x:v>Instalação</x:v>
      </x:c>
      <x:c r="B30" s="28" t="str">
        <x:v>Keystone fêmea RJ45 Cat6</x:v>
      </x:c>
      <x:c r="C30" s="22" t="n">
        <x:v>36</x:v>
      </x:c>
      <x:c r="D30" s="9" t="str">
        <x:v>un</x:v>
      </x:c>
      <x:c r="E30" s="17" t="n">
        <x:v>23.35</x:v>
      </x:c>
      <x:c r="F30" s="17" t="n">
        <x:f>C30*E30</x:f>
        <x:v>840.6</x:v>
      </x:c>
      <x:c r="G30" s="9" t="str">
        <x:v>31 desktops cabeados + 5 APs; servidores ligados localmente por patch cord</x:v>
      </x:c>
      <x:c r="H30" s="9" t="str">
        <x:v>https://www.kabum.com.br/produto/449852/conector-rj45-femea-utp-branco-cat-6</x:v>
      </x:c>
      <x:c r="I30" s="26" t="str">
        <x:v>RJ45 fêmea UTP Cat6 (SKU não informado)</x:v>
      </x:c>
      <x:c r="J30" s="20" t="n">
        <x:f>'Térreo'!G18</x:f>
        <x:v>70.05</x:v>
      </x:c>
      <x:c r="K30" s="20" t="n">
        <x:f>'1º andar'!G18</x:f>
        <x:v>163.45</x:v>
      </x:c>
      <x:c r="L30" s="20" t="n">
        <x:f>'2º andar'!G16</x:f>
        <x:v>350.25</x:v>
      </x:c>
      <x:c r="M30" s="20" t="n">
        <x:f>'3º andar'!G16</x:f>
        <x:v>256.85</x:v>
      </x:c>
    </x:row>
    <x:row r="31" ht="42" customHeight="1">
      <x:c r="A31" s="9" t="str">
        <x:v>Instalação</x:v>
      </x:c>
      <x:c r="B31" s="28" t="str">
        <x:v>Caixa de sobrepor 2 saídas para ponto de mesa</x:v>
      </x:c>
      <x:c r="C31" s="22" t="n">
        <x:v>31</x:v>
      </x:c>
      <x:c r="D31" s="9" t="str">
        <x:v>un</x:v>
      </x:c>
      <x:c r="E31" s="17" t="n">
        <x:v>5.22</x:v>
      </x:c>
      <x:c r="F31" s="17" t="n">
        <x:f>C31*E31</x:f>
        <x:v>161.82</x:v>
      </x:c>
      <x:c r="G31" s="9" t="str">
        <x:v>1 em cada estação cabeada; 5 APs usam caixa de teto própria</x:v>
      </x:c>
      <x:c r="H31" s="9" t="str">
        <x:v>https://www.centralcabos.com.br/caixa-sobrepor-2-saidas---3402/p</x:v>
      </x:c>
      <x:c r="I31" s="26" t="str">
        <x:v>Central Cabos ref. 3402</x:v>
      </x:c>
      <x:c r="J31" s="20" t="n">
        <x:f>'Térreo'!G19</x:f>
        <x:v>5.22</x:v>
      </x:c>
      <x:c r="K31" s="20" t="n">
        <x:f>'1º andar'!G19</x:f>
        <x:v>31.32</x:v>
      </x:c>
      <x:c r="L31" s="20" t="n">
        <x:f>'2º andar'!G17</x:f>
        <x:v>73.08</x:v>
      </x:c>
      <x:c r="M31" s="20" t="n">
        <x:f>'3º andar'!G17</x:f>
        <x:v>52.2</x:v>
      </x:c>
    </x:row>
    <x:row r="32" ht="42" customHeight="1">
      <x:c r="A32" s="10" t="str">
        <x:v>Instalação</x:v>
      </x:c>
      <x:c r="B32" s="29" t="str">
        <x:v>Caixa octogonal PVC 4x4 Tramontina 57500/005 para AP</x:v>
      </x:c>
      <x:c r="C32" s="23" t="n">
        <x:v>5</x:v>
      </x:c>
      <x:c r="D32" s="10" t="str">
        <x:v>un</x:v>
      </x:c>
      <x:c r="E32" s="18" t="n">
        <x:v>10.2</x:v>
      </x:c>
      <x:c r="F32" s="18" t="n">
        <x:f>C32*E32</x:f>
        <x:v>51</x:v>
      </x:c>
      <x:c r="G32" s="10" t="str">
        <x:v>1 por AP para acomodar terminação, sujeito ao tipo de forro</x:v>
      </x:c>
      <x:c r="H32" s="10" t="str">
        <x:v>https://www.magazineluiza.com.br/caixa-de-pvc-octogonal-4x4-amarela-c-fundo-movel-57500005-tramontina-tramontina-eletrik/p/hggjb81446/cj/cxpe/</x:v>
      </x:c>
      <x:c r="I32" s="26" t="str">
        <x:v>Tramontina 57500/005</x:v>
      </x:c>
      <x:c r="J32" s="20" t="n">
        <x:f>'Térreo'!G20</x:f>
        <x:v>20.4</x:v>
      </x:c>
      <x:c r="K32" s="20" t="n">
        <x:f>'1º andar'!G20</x:f>
        <x:v>10.2</x:v>
      </x:c>
      <x:c r="L32" s="20" t="n">
        <x:f>'2º andar'!G18</x:f>
        <x:v>10.2</x:v>
      </x:c>
      <x:c r="M32" s="20" t="n">
        <x:f>'3º andar'!G18</x:f>
        <x:v>10.2</x:v>
      </x:c>
    </x:row>
    <x:row r="33" ht="42" customHeight="1">
      <x:c r="A33" s="1" t="str">
        <x:v>Instalação</x:v>
      </x:c>
      <x:c r="B33" s="30" t="str">
        <x:v>Patch cord X-cell Cat6 UTP 2 m</x:v>
      </x:c>
      <x:c r="C33" s="24" t="n">
        <x:v>80</x:v>
      </x:c>
      <x:c r="D33" s="1" t="str">
        <x:v>un</x:v>
      </x:c>
      <x:c r="E33" s="19" t="n">
        <x:v>14.9</x:v>
      </x:c>
      <x:c r="F33" s="19" t="n">
        <x:f>C33*E33</x:f>
        <x:v>1192</x:v>
      </x:c>
      <x:c r="G33" s="1" t="str">
        <x:v>36 no rack + 36 nas pontas + 2 servidores + 4 interswitch + 1 gateway + 1 reserva</x:v>
      </x:c>
      <x:c r="H33" s="1" t="str">
        <x:v>https://www.kabum.com.br/produto/409945/cabo-de-rede-cat-6-2-metros-2m-patch-cord-rj45-lan-internet</x:v>
      </x:c>
      <x:c r="I33" s="26" t="str">
        <x:v>X-cell Cat6 UTP 2 m (SKU não informado)</x:v>
      </x:c>
      <x:c r="J33" s="20" t="n">
        <x:f>'Térreo'!G21</x:f>
        <x:v>119.2</x:v>
      </x:c>
      <x:c r="K33" s="20" t="n">
        <x:f>'1º andar'!G21</x:f>
        <x:v>268.2</x:v>
      </x:c>
      <x:c r="L33" s="20" t="n">
        <x:f>'2º andar'!G19</x:f>
        <x:v>461.9</x:v>
      </x:c>
      <x:c r="M33" s="20" t="n">
        <x:f>'3º andar'!G19</x:f>
        <x:v>342.7</x:v>
      </x:c>
    </x:row>
    <x:row r="34" ht="42" customHeight="1">
      <x:c r="A34" s="1" t="str">
        <x:v>Instalação</x:v>
      </x:c>
      <x:c r="B34" s="30" t="str">
        <x:v>PDU Max Eletron 19", 8 tomadas 10 A</x:v>
      </x:c>
      <x:c r="C34" s="24" t="n">
        <x:v>4</x:v>
      </x:c>
      <x:c r="D34" s="1" t="str">
        <x:v>un</x:v>
      </x:c>
      <x:c r="E34" s="19" t="n">
        <x:v>94.9</x:v>
      </x:c>
      <x:c r="F34" s="19" t="n">
        <x:f>C34*E34</x:f>
        <x:v>379.6</x:v>
      </x:c>
      <x:c r="G34" s="1" t="str">
        <x:v>1 PDU por rack, alimentada por nobreak dimensionado</x:v>
      </x:c>
      <x:c r="H34" s="1" t="str">
        <x:v>https://www.kabum.com.br/produto/577263/calha-regua-p-rack-c-8-tomadas-10a-19-preto-max-eletron</x:v>
      </x:c>
      <x:c r="I34" s="26" t="str">
        <x:v>Max Eletron 19" / 8 tomadas 10 A (SKU não informado)</x:v>
      </x:c>
      <x:c r="J34" s="20" t="n">
        <x:f>'Térreo'!G22</x:f>
        <x:v>94.9</x:v>
      </x:c>
      <x:c r="K34" s="20" t="n">
        <x:f>'1º andar'!G22</x:f>
        <x:v>94.9</x:v>
      </x:c>
      <x:c r="L34" s="20" t="n">
        <x:f>'2º andar'!G20</x:f>
        <x:v>94.9</x:v>
      </x:c>
      <x:c r="M34" s="20" t="n">
        <x:f>'3º andar'!G20</x:f>
        <x:v>94.9</x:v>
      </x:c>
    </x:row>
    <x:row r="35" ht="42" customHeight="1">
      <x:c r="A35" s="1" t="str">
        <x:v>Instalação</x:v>
      </x:c>
      <x:c r="B35" s="30" t="str">
        <x:v>Mini DIO 6FO monomodo LC/UPC com pigtails</x:v>
      </x:c>
      <x:c r="C35" s="24" t="n">
        <x:v>4</x:v>
      </x:c>
      <x:c r="D35" s="1" t="str">
        <x:v>un</x:v>
      </x:c>
      <x:c r="E35" s="19" t="n">
        <x:v>351.12</x:v>
      </x:c>
      <x:c r="F35" s="19" t="n">
        <x:f>C35*E35</x:f>
        <x:v>1404.48</x:v>
      </x:c>
      <x:c r="G35" s="1" t="str">
        <x:v>1 por rack; 2 fibras por enlace; 4 fibras ativas nos andares 1 e 2</x:v>
      </x:c>
      <x:c r="H35" s="1" t="str">
        <x:v>https://www.aztech.com.br/mini-dio-6fo-de-aco-com-conectores-pigtail-e-acopladores-lcupc-monomodo</x:v>
      </x:c>
      <x:c r="I35" s="26" t="str">
        <x:v>Mini-DIO-6FO LC/UPC (referência do fornecedor)</x:v>
      </x:c>
      <x:c r="J35" s="20" t="n">
        <x:f>'Térreo'!G23</x:f>
        <x:v>351.12</x:v>
      </x:c>
      <x:c r="K35" s="20" t="n">
        <x:f>'1º andar'!G23</x:f>
        <x:v>351.12</x:v>
      </x:c>
      <x:c r="L35" s="20" t="n">
        <x:f>'2º andar'!G21</x:f>
        <x:v>351.12</x:v>
      </x:c>
      <x:c r="M35" s="20" t="n">
        <x:f>'3º andar'!G21</x:f>
        <x:v>351.12</x:v>
      </x:c>
    </x:row>
    <x:row r="36" ht="42" customHeight="1">
      <x:c r="A36" s="1" t="str">
        <x:v>Instalação</x:v>
      </x:c>
      <x:c r="B36" s="30" t="str">
        <x:v>Módulo SFP TP-Link TL-SM311LS monomodo LC</x:v>
      </x:c>
      <x:c r="C36" s="24" t="n">
        <x:v>6</x:v>
      </x:c>
      <x:c r="D36" s="1" t="str">
        <x:v>un</x:v>
      </x:c>
      <x:c r="E36" s="19" t="n">
        <x:v>103.55</x:v>
      </x:c>
      <x:c r="F36" s="19" t="n">
        <x:f>C36*E36</x:f>
        <x:v>621.3</x:v>
      </x:c>
      <x:c r="G36" s="1" t="str">
        <x:v>3 enlaces ópticos adjacentes × 2 pontas; confirmar compatibilidade por revisão</x:v>
      </x:c>
      <x:c r="H36" s="1" t="str">
        <x:v>https://www.centralcabos.com.br/modulo-sfp-1-25g-duplex-lc-monomodo-1000base-lx-1310nm-20km---tp-lin---tl-sm311ls/p</x:v>
      </x:c>
      <x:c r="I36" s="26" t="str">
        <x:v>TP-Link TL-SM311LS</x:v>
      </x:c>
      <x:c r="J36" s="20" t="n">
        <x:f>'Térreo'!G24</x:f>
        <x:v>103.55</x:v>
      </x:c>
      <x:c r="K36" s="20" t="n">
        <x:f>'1º andar'!G24</x:f>
        <x:v>207.1</x:v>
      </x:c>
      <x:c r="L36" s="20" t="n">
        <x:f>'2º andar'!G22</x:f>
        <x:v>207.1</x:v>
      </x:c>
      <x:c r="M36" s="20" t="n">
        <x:f>'3º andar'!G22</x:f>
        <x:v>103.55</x:v>
      </x:c>
    </x:row>
    <x:row r="37" ht="42" customHeight="1">
      <x:c r="A37" s="1" t="str">
        <x:v>Instalação</x:v>
      </x:c>
      <x:c r="B37" s="30" t="str">
        <x:v>Cordão óptico duplex monomodo LC/UPC 2 m</x:v>
      </x:c>
      <x:c r="C37" s="24" t="n">
        <x:v>6</x:v>
      </x:c>
      <x:c r="D37" s="1" t="str">
        <x:v>un</x:v>
      </x:c>
      <x:c r="E37" s="19" t="n">
        <x:v>73.11</x:v>
      </x:c>
      <x:c r="F37" s="19" t="n">
        <x:f>C37*E37</x:f>
        <x:v>438.65999999999997</x:v>
      </x:c>
      <x:c r="G37" s="1" t="str">
        <x:v>1 DIO–SFP por transceptor; LC/UPC nas duas pontas</x:v>
      </x:c>
      <x:c r="H37" s="1" t="str">
        <x:v>https://loja1.instrufiber.com.br/cordao-ptico-duplex-sm-9-125-lc-pc-lc-pc-2?tag=cord%C3%A3o+monomodo+ST</x:v>
      </x:c>
      <x:c r="I37" s="26" t="str">
        <x:v>SM 9/125 LC/UPC-LC/UPC 2 m (SKU não informado)</x:v>
      </x:c>
      <x:c r="J37" s="20" t="n">
        <x:f>'Térreo'!G25</x:f>
        <x:v>73.11</x:v>
      </x:c>
      <x:c r="K37" s="20" t="n">
        <x:f>'1º andar'!G25</x:f>
        <x:v>146.22</x:v>
      </x:c>
      <x:c r="L37" s="20" t="n">
        <x:f>'2º andar'!G23</x:f>
        <x:v>146.22</x:v>
      </x:c>
      <x:c r="M37" s="20" t="n">
        <x:f>'3º andar'!G23</x:f>
        <x:v>73.11</x:v>
      </x:c>
    </x:row>
    <x:row r="38" ht="42" customHeight="1">
      <x:c r="A38" t="str">
        <x:v>Instalação</x:v>
      </x:c>
      <x:c r="B38" s="26" t="str">
        <x:v>Guia horizontal Caesa 1U x 55 mm</x:v>
      </x:c>
      <x:c r="C38" s="25" t="n">
        <x:v>4</x:v>
      </x:c>
      <x:c r="D38" t="str">
        <x:v>un</x:v>
      </x:c>
      <x:c r="E38" s="20" t="n">
        <x:v>36</x:v>
      </x:c>
      <x:c r="F38" s="20" t="n">
        <x:f>C38*E38</x:f>
        <x:v>144</x:v>
      </x:c>
      <x:c r="G38" t="str">
        <x:v>1 por rack entre patch panel e switches; separar cobre/óptico</x:v>
      </x:c>
      <x:c r="H38" t="str">
        <x:v>https://www.kabum.com.br/produto/533002/guia-de-cabo-caesa-1ux55mm-preto</x:v>
      </x:c>
      <x:c r="I38" s="26" t="str">
        <x:v>Caesa 1U x 55 mm (SKU não informado)</x:v>
      </x:c>
      <x:c r="J38" s="20" t="n">
        <x:f>'Térreo'!G26</x:f>
        <x:v>36</x:v>
      </x:c>
      <x:c r="K38" s="20" t="n">
        <x:f>'1º andar'!G26</x:f>
        <x:v>36</x:v>
      </x:c>
      <x:c r="L38" s="20" t="n">
        <x:f>'2º andar'!G24</x:f>
        <x:v>36</x:v>
      </x:c>
      <x:c r="M38" s="20" t="n">
        <x:f>'3º andar'!G24</x:f>
        <x:v>36</x:v>
      </x:c>
    </x:row>
    <x:row r="39">
      <x:c r="A39"/>
      <x:c r="B39"/>
      <x:c r="C39"/>
      <x:c r="D39"/>
      <x:c r="E39"/>
      <x:c r="F39"/>
      <x:c r="G39"/>
      <x:c r="H39"/>
    </x:row>
    <x:row r="40" ht="22" customHeight="1">
      <x:c r="A40" t="str">
        <x:v>Premissas: 4 racks; 4 switches de acesso; 4 de distribuição; 5 APs; 2 servidores; 3 enlaces ópticos entre pisos adjacentes.</x:v>
      </x:c>
    </x:row>
    <x:row r="41" ht="22" customHeight="1">
      <x:c r="A41" t="str">
        <x:v>PoE: 2 APs no térreo e 1 nos demais; cada EAP610 consome cerca de 13 W via 802.3at, dentro dos 150 W por switch.</x:v>
      </x:c>
    </x:row>
    <x:row r="42" ht="22" customHeight="1">
      <x:c r="A42" t="str">
        <x:v>Backbone monomodo 6FO e topologia linear são hipóteses: validar shaft, comprimentos reais, fusões, perda óptica e redundância.</x:v>
      </x:c>
    </x:row>
    <x:row r="43" ht="22" customHeight="1">
      <x:c r="A43" t="str">
        <x:v>Nobreaks e gabinetes exigem conferência de tensão, carga, autonomia, ventilação, ruído, fixação e aterramento no local.</x:v>
      </x:c>
    </x:row>
    <x:row r="44" ht="22" customHeight="1">
      <x:c r="A44" t="str">
        <x:v>Servidores: 16 GB / 2 TB cada, sem SO; validar carga, retenção e discos; RAID e cópia externa não incluídos.</x:v>
      </x:c>
    </x:row>
    <x:row r="45" ht="22" customHeight="1">
      <x:c r="A45" t="str">
        <x:v>Metragem: soma ortogonal mínima da planta = 395,4 m UTP se 1 unidade gráfica = 1 m; rotas reais e escala exigem vistoria.</x:v>
      </x:c>
    </x:row>
    <x:row r="46">
      <x:c r="A46" t="str">
        <x:v>Rede: fibra e PoE nos SG2210MP; uplinks de acesso RJ45 Gigabit; ER605 V2 com isolamento entre VLANs.</x:v>
      </x:c>
    </x:row>
    <x:row r="47">
      <x:c r="A47" t="str">
        <x:v>Computadores CDBP-PRO142: monitor 20", teclado e mouse; Windows 11 Pro trial, licença definitiva não incluída.</x:v>
      </x:c>
    </x:row>
    <x:row r="48">
      <x:c r="A48" t="str">
        <x:v>Rateio por pavimento na aba Resumo por andar; materiais sem SKU identificado usam especificação técnica.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55" hidden="0" customWidth="1"/>
    <x:col min="3" max="3" width="47" hidden="0" customWidth="1"/>
    <x:col min="4" max="4" width="12" hidden="0" customWidth="1"/>
    <x:col min="5" max="5" width="12" hidden="0" customWidth="1"/>
    <x:col min="6" max="6" width="17" hidden="0" customWidth="1"/>
    <x:col min="7" max="7" width="17" hidden="0" customWidth="1"/>
    <x:col min="8" max="8" width="16" hidden="0" customWidth="1"/>
    <x:col min="9" max="9" width="50" hidden="0" customWidth="1"/>
  </x:cols>
  <x:sheetData>
    <x:row r="1">
      <x:c r="A1" s="31" t="str">
        <x:v>TI Connect | Orçamento - Térreo</x:v>
      </x:c>
      <x:c r="B1" s="31"/>
      <x:c r="C1" s="31"/>
      <x:c r="D1" s="31"/>
      <x:c r="E1" s="31"/>
      <x:c r="F1" s="31"/>
      <x:c r="G1" s="31"/>
      <x:c r="H1" s="31"/>
      <x:c r="I1" s="31"/>
    </x:row>
    <x:row r="2">
      <x:c r="A2" s="31" t="str">
        <x:v>Equipamentos locais + materiais atribuídos ao pavimento</x:v>
      </x:c>
      <x:c r="B2" s="31"/>
      <x:c r="C2" s="31"/>
      <x:c r="D2" s="31"/>
      <x:c r="E2" s="31"/>
      <x:c r="F2" s="31"/>
      <x:c r="G2" s="31"/>
      <x:c r="H2" s="31"/>
      <x:c r="I2" s="31"/>
    </x:row>
    <x:row r="3">
      <x:c r="A3" s="31"/>
      <x:c r="B3" s="31"/>
      <x:c r="C3" s="31"/>
      <x:c r="D3" s="31"/>
      <x:c r="E3" s="31"/>
      <x:c r="F3" s="31"/>
      <x:c r="G3" s="31"/>
      <x:c r="H3" s="31"/>
      <x:c r="I3" s="31"/>
    </x:row>
    <x:row r="4">
      <x:c r="A4" s="37" t="str">
        <x:v>TOTAL DO PAVIMENTO</x:v>
      </x:c>
      <x:c r="B4" s="37"/>
      <x:c r="C4" s="37"/>
      <x:c r="D4" s="37"/>
      <x:c r="E4" s="37"/>
      <x:c r="F4" s="37"/>
      <x:c r="G4" s="38" t="n">
        <x:f>SUM(G7:G26)</x:f>
        <x:v>9553.75</x:v>
      </x:c>
      <x:c r="H4" s="37"/>
      <x:c r="I4" s="37"/>
    </x:row>
    <x:row r="5">
      <x:c r="A5" s="31"/>
      <x:c r="B5" s="31"/>
      <x:c r="C5" s="31"/>
      <x:c r="D5" s="31"/>
      <x:c r="E5" s="31"/>
      <x:c r="F5" s="31"/>
      <x:c r="G5" s="31"/>
      <x:c r="H5" s="31"/>
      <x:c r="I5" s="31"/>
    </x:row>
    <x:row r="6" ht="28" customHeight="1">
      <x:c r="A6" s="34" t="str">
        <x:v>ID</x:v>
      </x:c>
      <x:c r="B6" s="34" t="str">
        <x:v>Item / nome</x:v>
      </x:c>
      <x:c r="C6" s="34" t="str">
        <x:v>Modelo / referência</x:v>
      </x:c>
      <x:c r="D6" s="34" t="str">
        <x:v>Qtd.</x:v>
      </x:c>
      <x:c r="E6" s="34" t="str">
        <x:v>Un.</x:v>
      </x:c>
      <x:c r="F6" s="34" t="str">
        <x:v>Preço unitário</x:v>
      </x:c>
      <x:c r="G6" s="34" t="str">
        <x:v>Subtotal</x:v>
      </x:c>
      <x:c r="H6" s="34" t="str">
        <x:v>Grupo</x:v>
      </x:c>
      <x:c r="I6" s="34" t="str">
        <x:v>Identificação / aplicação</x:v>
      </x:c>
    </x:row>
    <x:row r="7" ht="42" customHeight="1">
      <x:c r="A7" s="32" t="n">
        <x:v>1</x:v>
      </x:c>
      <x:c r="B7" s="32" t="str">
        <x:v>Rack de parede 19" 12U Intelbras MRD 1257</x:v>
      </x:c>
      <x:c r="C7" s="32" t="str">
        <x:v>Intelbras MRD 1257</x:v>
      </x:c>
      <x:c r="D7" s="32" t="n">
        <x:v>1</x:v>
      </x:c>
      <x:c r="E7" s="32" t="str">
        <x:v>un</x:v>
      </x:c>
      <x:c r="F7" s="35" t="n">
        <x:f>'Orçamento'!E14</x:f>
        <x:v>1014.42</x:v>
      </x:c>
      <x:c r="G7" s="35" t="n">
        <x:f>ROUND(D7*F7,2)</x:f>
        <x:v>1014.42</x:v>
      </x:c>
      <x:c r="H7" s="32" t="str">
        <x:v>Equipamentos</x:v>
      </x:c>
      <x:c r="I7" s="32" t="str">
        <x:v>RACK-T</x:v>
      </x:c>
    </x:row>
    <x:row r="8" ht="42" customHeight="1">
      <x:c r="A8" s="32" t="n">
        <x:v>2</x:v>
      </x:c>
      <x:c r="B8" s="32" t="str">
        <x:v>Switch acesso térreo TP-Link TL-SG108E, 8xGbE Easy Smart</x:v>
      </x:c>
      <x:c r="C8" s="32" t="str">
        <x:v>TP-Link TL-SG108E</x:v>
      </x:c>
      <x:c r="D8" s="32" t="n">
        <x:v>1</x:v>
      </x:c>
      <x:c r="E8" s="32" t="str">
        <x:v>un</x:v>
      </x:c>
      <x:c r="F8" s="35" t="n">
        <x:f>'Orçamento'!E15</x:f>
        <x:v>332.38</x:v>
      </x:c>
      <x:c r="G8" s="35" t="n">
        <x:f>ROUND(D8*F8,2)</x:f>
        <x:v>332.38</x:v>
      </x:c>
      <x:c r="H8" s="32" t="str">
        <x:v>Equipamentos</x:v>
      </x:c>
      <x:c r="I8" s="32" t="str">
        <x:v>SW-T-01</x:v>
      </x:c>
    </x:row>
    <x:row r="9" ht="42" customHeight="1">
      <x:c r="A9" s="32" t="n">
        <x:v>5</x:v>
      </x:c>
      <x:c r="B9" s="32" t="str">
        <x:v>Switch distribuição/PoE TP-Link TL-SG2210MP, 8xPoE+ + 2 SFP, 150 W</x:v>
      </x:c>
      <x:c r="C9" s="32" t="str">
        <x:v>TP-Link TL-SG2210MP</x:v>
      </x:c>
      <x:c r="D9" s="32" t="n">
        <x:v>1</x:v>
      </x:c>
      <x:c r="E9" s="32" t="str">
        <x:v>un</x:v>
      </x:c>
      <x:c r="F9" s="35" t="n">
        <x:f>'Orçamento'!E18</x:f>
        <x:v>1044</x:v>
      </x:c>
      <x:c r="G9" s="35" t="n">
        <x:f>ROUND(D9*F9,2)</x:f>
        <x:v>1044</x:v>
      </x:c>
      <x:c r="H9" s="32" t="str">
        <x:v>Equipamentos</x:v>
      </x:c>
      <x:c r="I9" s="32" t="str">
        <x:v>SW-BB-T</x:v>
      </x:c>
    </x:row>
    <x:row r="10" ht="42" customHeight="1">
      <x:c r="A10" s="32" t="n">
        <x:v>6</x:v>
      </x:c>
      <x:c r="B10" s="32" t="str">
        <x:v>Roteador/gateway TP-Link ER605 — exigir revisão V2</x:v>
      </x:c>
      <x:c r="C10" s="32" t="str">
        <x:v>TP-Link ER605 V2</x:v>
      </x:c>
      <x:c r="D10" s="32" t="n">
        <x:v>1</x:v>
      </x:c>
      <x:c r="E10" s="32" t="str">
        <x:v>un</x:v>
      </x:c>
      <x:c r="F10" s="35" t="n">
        <x:f>'Orçamento'!E19</x:f>
        <x:v>459.99</x:v>
      </x:c>
      <x:c r="G10" s="35" t="n">
        <x:f>ROUND(D10*F10,2)</x:f>
        <x:v>459.99</x:v>
      </x:c>
      <x:c r="H10" s="32" t="str">
        <x:v>Equipamentos</x:v>
      </x:c>
      <x:c r="I10" s="32" t="str">
        <x:v>FW-01</x:v>
      </x:c>
    </x:row>
    <x:row r="11" ht="42" customHeight="1">
      <x:c r="A11" s="32" t="n">
        <x:v>7</x:v>
      </x:c>
      <x:c r="B11" s="32" t="str">
        <x:v>AP corporativo TP-Link EAP610 Wi-Fi 6, 802.3at</x:v>
      </x:c>
      <x:c r="C11" s="32" t="str">
        <x:v>TP-Link EAP610</x:v>
      </x:c>
      <x:c r="D11" s="32" t="n">
        <x:v>1</x:v>
      </x:c>
      <x:c r="E11" s="32" t="str">
        <x:v>un</x:v>
      </x:c>
      <x:c r="F11" s="35" t="n">
        <x:f>'Orçamento'!E20</x:f>
        <x:v>849.9</x:v>
      </x:c>
      <x:c r="G11" s="35" t="n">
        <x:f>ROUND(D11*F11,2)</x:f>
        <x:v>849.9</x:v>
      </x:c>
      <x:c r="H11" s="32" t="str">
        <x:v>Equipamentos</x:v>
      </x:c>
      <x:c r="I11" s="32" t="str">
        <x:v>AP-CORP-T</x:v>
      </x:c>
    </x:row>
    <x:row r="12" ht="42" customHeight="1">
      <x:c r="A12" s="32" t="n">
        <x:v>8</x:v>
      </x:c>
      <x:c r="B12" s="32" t="str">
        <x:v>AP visitantes TP-Link EAP610 Wi-Fi 6, 802.3at</x:v>
      </x:c>
      <x:c r="C12" s="32" t="str">
        <x:v>TP-Link EAP610</x:v>
      </x:c>
      <x:c r="D12" s="32" t="n">
        <x:v>1</x:v>
      </x:c>
      <x:c r="E12" s="32" t="str">
        <x:v>un</x:v>
      </x:c>
      <x:c r="F12" s="35" t="n">
        <x:f>'Orçamento'!E21</x:f>
        <x:v>849.9</x:v>
      </x:c>
      <x:c r="G12" s="35" t="n">
        <x:f>ROUND(D12*F12,2)</x:f>
        <x:v>849.9</x:v>
      </x:c>
      <x:c r="H12" s="32" t="str">
        <x:v>Equipamentos</x:v>
      </x:c>
      <x:c r="I12" s="32" t="str">
        <x:v>AP-VIS-01</x:v>
      </x:c>
    </x:row>
    <x:row r="13" ht="42" customHeight="1">
      <x:c r="A13" s="32" t="n">
        <x:v>11</x:v>
      </x:c>
      <x:c r="B13" s="32" t="str">
        <x:v>Computador completo BluePC PRO CDBP-PRO142, i3-12100F, 8 GB, SSD 256 GB</x:v>
      </x:c>
      <x:c r="C13" s="32" t="str">
        <x:v>BluePC CDBP-PRO142</x:v>
      </x:c>
      <x:c r="D13" s="32" t="n">
        <x:v>1</x:v>
      </x:c>
      <x:c r="E13" s="32" t="str">
        <x:v>un</x:v>
      </x:c>
      <x:c r="F13" s="35" t="n">
        <x:f>'Orçamento'!E24</x:f>
        <x:v>2669</x:v>
      </x:c>
      <x:c r="G13" s="35" t="n">
        <x:f>ROUND(D13*F13,2)</x:f>
        <x:v>2669</x:v>
      </x:c>
      <x:c r="H13" s="32" t="str">
        <x:v>Equipamentos</x:v>
      </x:c>
      <x:c r="I13" s="32" t="str">
        <x:v>PT-EST-01</x:v>
      </x:c>
    </x:row>
    <x:row r="14" ht="42" customHeight="1">
      <x:c r="A14" s="32" t="n">
        <x:v>12</x:v>
      </x:c>
      <x:c r="B14" s="32" t="str">
        <x:v>Nobreak Intelbras ATTIV 700 VA para rede de andar</x:v>
      </x:c>
      <x:c r="C14" s="32" t="str">
        <x:v>Intelbras ATTIV 700 VA / 220 V</x:v>
      </x:c>
      <x:c r="D14" s="32" t="n">
        <x:v>1</x:v>
      </x:c>
      <x:c r="E14" s="32" t="str">
        <x:v>un</x:v>
      </x:c>
      <x:c r="F14" s="35" t="n">
        <x:f>'Orçamento'!E25</x:f>
        <x:v>519.63</x:v>
      </x:c>
      <x:c r="G14" s="35" t="n">
        <x:f>ROUND(D14*F14,2)</x:f>
        <x:v>519.63</x:v>
      </x:c>
      <x:c r="H14" s="32" t="str">
        <x:v>Equipamentos</x:v>
      </x:c>
      <x:c r="I14" s="32" t="str">
        <x:v>Térreo, 2º e 3º: switches/roteador/APs; tensão e autonomia a validar</x:v>
      </x:c>
    </x:row>
    <x:row r="15" ht="42" customHeight="1">
      <x:c r="A15" s="32" t="n">
        <x:v>14</x:v>
      </x:c>
      <x:c r="B15" s="32" t="str">
        <x:v>Cabo U/UTP Cat6 Furukawa SOHOPLUS, caixa 305 m</x:v>
      </x:c>
      <x:c r="C15" s="32" t="str">
        <x:v>Furukawa SOHOPLUS 23400199</x:v>
      </x:c>
      <x:c r="D15" s="32" t="n">
        <x:v>34</x:v>
      </x:c>
      <x:c r="E15" s="32" t="str">
        <x:v>m (rateio)</x:v>
      </x:c>
      <x:c r="F15" s="35" t="n">
        <x:f>'Orçamento'!E27/305</x:f>
        <x:v>3.934098360655738</x:v>
      </x:c>
      <x:c r="G15" s="35" t="n">
        <x:f>ROUND(D15*F15,2)</x:f>
        <x:v>133.76</x:v>
      </x:c>
      <x:c r="H15" s="32" t="str">
        <x:v>Cabeamento</x:v>
      </x:c>
      <x:c r="I15" s="32" t="str">
        <x:v>Rateio financeiro do material comprado</x:v>
      </x:c>
    </x:row>
    <x:row r="16" ht="42" customHeight="1">
      <x:c r="A16" s="32" t="n">
        <x:v>15</x:v>
      </x:c>
      <x:c r="B16" s="32" t="str">
        <x:v>Cabo óptico monomodo 6FO antichamas, rolo 50 m</x:v>
      </x:c>
      <x:c r="C16" s="32" t="str">
        <x:v>Monomodo 6FO antichamas / 50 m (SKU não informado)</x:v>
      </x:c>
      <x:c r="D16" s="32" t="n">
        <x:v>25</x:v>
      </x:c>
      <x:c r="E16" s="32" t="str">
        <x:v>m (rateio)</x:v>
      </x:c>
      <x:c r="F16" s="35" t="n">
        <x:f>'Orçamento'!E28/50</x:f>
        <x:v>9.0928</x:v>
      </x:c>
      <x:c r="G16" s="35" t="n">
        <x:f>ROUND(D16*F16,2)</x:f>
        <x:v>227.32</x:v>
      </x:c>
      <x:c r="H16" s="32" t="str">
        <x:v>Cabeamento</x:v>
      </x:c>
      <x:c r="I16" s="32" t="str">
        <x:v>Rateio financeiro do material comprado</x:v>
      </x:c>
    </x:row>
    <x:row r="17" ht="42" customHeight="1">
      <x:c r="A17" s="32" t="n">
        <x:v>16</x:v>
      </x:c>
      <x:c r="B17" s="32" t="str">
        <x:v>Patch panel Cat6 Furukawa 24 portas</x:v>
      </x:c>
      <x:c r="C17" s="32" t="str">
        <x:v>Furukawa SOHOPLUS 35050439</x:v>
      </x:c>
      <x:c r="D17" s="32" t="n">
        <x:v>1</x:v>
      </x:c>
      <x:c r="E17" s="32" t="str">
        <x:v>un</x:v>
      </x:c>
      <x:c r="F17" s="35" t="n">
        <x:f>'Orçamento'!E29</x:f>
        <x:v>579.9</x:v>
      </x:c>
      <x:c r="G17" s="35" t="n">
        <x:f>ROUND(D17*F17,2)</x:f>
        <x:v>579.9</x:v>
      </x:c>
      <x:c r="H17" s="32" t="str">
        <x:v>Instalação</x:v>
      </x:c>
      <x:c r="I17" s="32" t="str">
        <x:v>1 por rack: térreo 3, 1º 7, 2º 15, 3º 11 terminações de área</x:v>
      </x:c>
    </x:row>
    <x:row r="18" ht="42" customHeight="1">
      <x:c r="A18" s="32" t="n">
        <x:v>17</x:v>
      </x:c>
      <x:c r="B18" s="32" t="str">
        <x:v>Keystone fêmea RJ45 Cat6</x:v>
      </x:c>
      <x:c r="C18" s="32" t="str">
        <x:v>RJ45 fêmea UTP Cat6 (SKU não informado)</x:v>
      </x:c>
      <x:c r="D18" s="32" t="n">
        <x:v>3</x:v>
      </x:c>
      <x:c r="E18" s="32" t="str">
        <x:v>un</x:v>
      </x:c>
      <x:c r="F18" s="35" t="n">
        <x:f>'Orçamento'!E30</x:f>
        <x:v>23.35</x:v>
      </x:c>
      <x:c r="G18" s="35" t="n">
        <x:f>ROUND(D18*F18,2)</x:f>
        <x:v>70.05</x:v>
      </x:c>
      <x:c r="H18" s="32" t="str">
        <x:v>Instalação</x:v>
      </x:c>
      <x:c r="I18" s="32" t="str">
        <x:v>31 desktops cabeados + 5 APs; servidores ligados localmente por patch cord</x:v>
      </x:c>
    </x:row>
    <x:row r="19" ht="42" customHeight="1">
      <x:c r="A19" s="32" t="n">
        <x:v>18</x:v>
      </x:c>
      <x:c r="B19" s="32" t="str">
        <x:v>Caixa de sobrepor 2 saídas para ponto de mesa</x:v>
      </x:c>
      <x:c r="C19" s="32" t="str">
        <x:v>Central Cabos ref. 3402</x:v>
      </x:c>
      <x:c r="D19" s="32" t="n">
        <x:v>1</x:v>
      </x:c>
      <x:c r="E19" s="32" t="str">
        <x:v>un</x:v>
      </x:c>
      <x:c r="F19" s="35" t="n">
        <x:f>'Orçamento'!E31</x:f>
        <x:v>5.22</x:v>
      </x:c>
      <x:c r="G19" s="35" t="n">
        <x:f>ROUND(D19*F19,2)</x:f>
        <x:v>5.22</x:v>
      </x:c>
      <x:c r="H19" s="32" t="str">
        <x:v>Instalação</x:v>
      </x:c>
      <x:c r="I19" s="32" t="str">
        <x:v>1 em cada estação cabeada; 5 APs usam caixa de teto própria</x:v>
      </x:c>
    </x:row>
    <x:row r="20" ht="42" customHeight="1">
      <x:c r="A20" s="32" t="n">
        <x:v>19</x:v>
      </x:c>
      <x:c r="B20" s="32" t="str">
        <x:v>Caixa octogonal PVC 4x4 Tramontina 57500/005 para AP</x:v>
      </x:c>
      <x:c r="C20" s="32" t="str">
        <x:v>Tramontina 57500/005</x:v>
      </x:c>
      <x:c r="D20" s="32" t="n">
        <x:v>2</x:v>
      </x:c>
      <x:c r="E20" s="32" t="str">
        <x:v>un</x:v>
      </x:c>
      <x:c r="F20" s="35" t="n">
        <x:f>'Orçamento'!E32</x:f>
        <x:v>10.2</x:v>
      </x:c>
      <x:c r="G20" s="35" t="n">
        <x:f>ROUND(D20*F20,2)</x:f>
        <x:v>20.4</x:v>
      </x:c>
      <x:c r="H20" s="32" t="str">
        <x:v>Instalação</x:v>
      </x:c>
      <x:c r="I20" s="32" t="str">
        <x:v>1 por AP para acomodar terminação, sujeito ao tipo de forro</x:v>
      </x:c>
    </x:row>
    <x:row r="21" ht="42" customHeight="1">
      <x:c r="A21" s="32" t="n">
        <x:v>20</x:v>
      </x:c>
      <x:c r="B21" s="32" t="str">
        <x:v>Patch cord X-cell Cat6 UTP 2 m</x:v>
      </x:c>
      <x:c r="C21" s="32" t="str">
        <x:v>X-cell Cat6 UTP 2 m (SKU não informado)</x:v>
      </x:c>
      <x:c r="D21" s="32" t="n">
        <x:v>8</x:v>
      </x:c>
      <x:c r="E21" s="32" t="str">
        <x:v>un</x:v>
      </x:c>
      <x:c r="F21" s="35" t="n">
        <x:f>'Orçamento'!E33</x:f>
        <x:v>14.9</x:v>
      </x:c>
      <x:c r="G21" s="35" t="n">
        <x:f>ROUND(D21*F21,2)</x:f>
        <x:v>119.2</x:v>
      </x:c>
      <x:c r="H21" s="32" t="str">
        <x:v>Instalação</x:v>
      </x:c>
      <x:c r="I21" s="32" t="str">
        <x:v>36 no rack + 36 nas pontas + 2 servidores + 4 interswitch + 1 gateway + 1 reserva</x:v>
      </x:c>
    </x:row>
    <x:row r="22" ht="42" customHeight="1">
      <x:c r="A22" s="32" t="n">
        <x:v>21</x:v>
      </x:c>
      <x:c r="B22" s="32" t="str">
        <x:v>PDU Max Eletron 19", 8 tomadas 10 A</x:v>
      </x:c>
      <x:c r="C22" s="32" t="str">
        <x:v>Max Eletron 19" / 8 tomadas 10 A (SKU não informado)</x:v>
      </x:c>
      <x:c r="D22" s="32" t="n">
        <x:v>1</x:v>
      </x:c>
      <x:c r="E22" s="32" t="str">
        <x:v>un</x:v>
      </x:c>
      <x:c r="F22" s="35" t="n">
        <x:f>'Orçamento'!E34</x:f>
        <x:v>94.9</x:v>
      </x:c>
      <x:c r="G22" s="35" t="n">
        <x:f>ROUND(D22*F22,2)</x:f>
        <x:v>94.9</x:v>
      </x:c>
      <x:c r="H22" s="32" t="str">
        <x:v>Instalação</x:v>
      </x:c>
      <x:c r="I22" s="32" t="str">
        <x:v>1 PDU por rack, alimentada por nobreak dimensionado</x:v>
      </x:c>
    </x:row>
    <x:row r="23" ht="42" customHeight="1">
      <x:c r="A23" s="32" t="n">
        <x:v>22</x:v>
      </x:c>
      <x:c r="B23" s="32" t="str">
        <x:v>Mini DIO 6FO monomodo LC/UPC com pigtails</x:v>
      </x:c>
      <x:c r="C23" s="32" t="str">
        <x:v>Mini-DIO-6FO LC/UPC (referência do fornecedor)</x:v>
      </x:c>
      <x:c r="D23" s="32" t="n">
        <x:v>1</x:v>
      </x:c>
      <x:c r="E23" s="32" t="str">
        <x:v>un</x:v>
      </x:c>
      <x:c r="F23" s="35" t="n">
        <x:f>'Orçamento'!E35</x:f>
        <x:v>351.12</x:v>
      </x:c>
      <x:c r="G23" s="35" t="n">
        <x:f>ROUND(D23*F23,2)</x:f>
        <x:v>351.12</x:v>
      </x:c>
      <x:c r="H23" s="32" t="str">
        <x:v>Instalação</x:v>
      </x:c>
      <x:c r="I23" s="32" t="str">
        <x:v>1 por rack; 2 fibras por enlace; 4 fibras ativas nos andares 1 e 2</x:v>
      </x:c>
    </x:row>
    <x:row r="24" ht="42" customHeight="1">
      <x:c r="A24" s="32" t="n">
        <x:v>23</x:v>
      </x:c>
      <x:c r="B24" s="32" t="str">
        <x:v>Módulo SFP TP-Link TL-SM311LS monomodo LC</x:v>
      </x:c>
      <x:c r="C24" s="32" t="str">
        <x:v>TP-Link TL-SM311LS</x:v>
      </x:c>
      <x:c r="D24" s="32" t="n">
        <x:v>1</x:v>
      </x:c>
      <x:c r="E24" s="32" t="str">
        <x:v>un</x:v>
      </x:c>
      <x:c r="F24" s="35" t="n">
        <x:f>'Orçamento'!E36</x:f>
        <x:v>103.55</x:v>
      </x:c>
      <x:c r="G24" s="35" t="n">
        <x:f>ROUND(D24*F24,2)</x:f>
        <x:v>103.55</x:v>
      </x:c>
      <x:c r="H24" s="32" t="str">
        <x:v>Instalação</x:v>
      </x:c>
      <x:c r="I24" s="32" t="str">
        <x:v>3 enlaces ópticos adjacentes × 2 pontas; confirmar compatibilidade por revisão</x:v>
      </x:c>
    </x:row>
    <x:row r="25" ht="42" customHeight="1">
      <x:c r="A25" s="32" t="n">
        <x:v>24</x:v>
      </x:c>
      <x:c r="B25" s="32" t="str">
        <x:v>Cordão óptico duplex monomodo LC/UPC 2 m</x:v>
      </x:c>
      <x:c r="C25" s="32" t="str">
        <x:v>SM 9/125 LC/UPC-LC/UPC 2 m (SKU não informado)</x:v>
      </x:c>
      <x:c r="D25" s="32" t="n">
        <x:v>1</x:v>
      </x:c>
      <x:c r="E25" s="32" t="str">
        <x:v>un</x:v>
      </x:c>
      <x:c r="F25" s="35" t="n">
        <x:f>'Orçamento'!E37</x:f>
        <x:v>73.11</x:v>
      </x:c>
      <x:c r="G25" s="35" t="n">
        <x:f>ROUND(D25*F25,2)</x:f>
        <x:v>73.11</x:v>
      </x:c>
      <x:c r="H25" s="32" t="str">
        <x:v>Instalação</x:v>
      </x:c>
      <x:c r="I25" s="32" t="str">
        <x:v>1 DIO–SFP por transceptor; LC/UPC nas duas pontas</x:v>
      </x:c>
    </x:row>
    <x:row r="26" ht="42" customHeight="1">
      <x:c r="A26" s="32" t="n">
        <x:v>25</x:v>
      </x:c>
      <x:c r="B26" s="32" t="str">
        <x:v>Guia horizontal Caesa 1U x 55 mm</x:v>
      </x:c>
      <x:c r="C26" s="32" t="str">
        <x:v>Caesa 1U x 55 mm (SKU não informado)</x:v>
      </x:c>
      <x:c r="D26" s="32" t="n">
        <x:v>1</x:v>
      </x:c>
      <x:c r="E26" s="32" t="str">
        <x:v>un</x:v>
      </x:c>
      <x:c r="F26" s="35" t="n">
        <x:f>'Orçamento'!E38</x:f>
        <x:v>36</x:v>
      </x:c>
      <x:c r="G26" s="35" t="n">
        <x:f>ROUND(D26*F26,2)</x:f>
        <x:v>36</x:v>
      </x:c>
      <x:c r="H26" s="32" t="str">
        <x:v>Instalação</x:v>
      </x:c>
      <x:c r="I26" s="32" t="str">
        <x:v>1 por rack entre patch panel e switches; separar cobre/óptico</x:v>
      </x:c>
    </x:row>
    <x:row r="28">
      <x:c r="A28" t="str">
        <x:v>Cat6: rateio de 610 m (34 / 116 / 304 / 156 m). Fibra: rateio financeiro igual de 25 m por piso.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55" hidden="0" customWidth="1"/>
    <x:col min="3" max="3" width="47" hidden="0" customWidth="1"/>
    <x:col min="4" max="4" width="12" hidden="0" customWidth="1"/>
    <x:col min="5" max="5" width="12" hidden="0" customWidth="1"/>
    <x:col min="6" max="6" width="17" hidden="0" customWidth="1"/>
    <x:col min="7" max="7" width="17" hidden="0" customWidth="1"/>
    <x:col min="8" max="8" width="16" hidden="0" customWidth="1"/>
    <x:col min="9" max="9" width="50" hidden="0" customWidth="1"/>
  </x:cols>
  <x:sheetData>
    <x:row r="1">
      <x:c r="A1" s="31" t="str">
        <x:v>TI Connect | Orçamento - 1º andar</x:v>
      </x:c>
      <x:c r="B1" s="31"/>
      <x:c r="C1" s="31"/>
      <x:c r="D1" s="31"/>
      <x:c r="E1" s="31"/>
      <x:c r="F1" s="31"/>
      <x:c r="G1" s="31"/>
      <x:c r="H1" s="31"/>
      <x:c r="I1" s="31"/>
    </x:row>
    <x:row r="2">
      <x:c r="A2" s="31" t="str">
        <x:v>Equipamentos locais + materiais atribuídos ao pavimento</x:v>
      </x:c>
      <x:c r="B2" s="31"/>
      <x:c r="C2" s="31"/>
      <x:c r="D2" s="31"/>
      <x:c r="E2" s="31"/>
      <x:c r="F2" s="31"/>
      <x:c r="G2" s="31"/>
      <x:c r="H2" s="31"/>
      <x:c r="I2" s="31"/>
    </x:row>
    <x:row r="3">
      <x:c r="A3" s="31"/>
      <x:c r="B3" s="31"/>
      <x:c r="C3" s="31"/>
      <x:c r="D3" s="31"/>
      <x:c r="E3" s="31"/>
      <x:c r="F3" s="31"/>
      <x:c r="G3" s="31"/>
      <x:c r="H3" s="31"/>
      <x:c r="I3" s="31"/>
    </x:row>
    <x:row r="4">
      <x:c r="A4" s="37" t="str">
        <x:v>TOTAL DO PAVIMENTO</x:v>
      </x:c>
      <x:c r="B4" s="37"/>
      <x:c r="C4" s="37"/>
      <x:c r="D4" s="37"/>
      <x:c r="E4" s="37"/>
      <x:c r="F4" s="37"/>
      <x:c r="G4" s="38" t="n">
        <x:f>SUM(G7:G26)</x:f>
        <x:v>49058.10999999999</x:v>
      </x:c>
      <x:c r="H4" s="37"/>
      <x:c r="I4" s="37"/>
    </x:row>
    <x:row r="5">
      <x:c r="A5" s="31"/>
      <x:c r="B5" s="31"/>
      <x:c r="C5" s="31"/>
      <x:c r="D5" s="31"/>
      <x:c r="E5" s="31"/>
      <x:c r="F5" s="31"/>
      <x:c r="G5" s="31"/>
      <x:c r="H5" s="31"/>
      <x:c r="I5" s="31"/>
    </x:row>
    <x:row r="6" ht="28" customHeight="1">
      <x:c r="A6" s="34" t="str">
        <x:v>ID</x:v>
      </x:c>
      <x:c r="B6" s="34" t="str">
        <x:v>Item / nome</x:v>
      </x:c>
      <x:c r="C6" s="34" t="str">
        <x:v>Modelo / referência</x:v>
      </x:c>
      <x:c r="D6" s="34" t="str">
        <x:v>Qtd.</x:v>
      </x:c>
      <x:c r="E6" s="34" t="str">
        <x:v>Un.</x:v>
      </x:c>
      <x:c r="F6" s="34" t="str">
        <x:v>Preço unitário</x:v>
      </x:c>
      <x:c r="G6" s="34" t="str">
        <x:v>Subtotal</x:v>
      </x:c>
      <x:c r="H6" s="34" t="str">
        <x:v>Grupo</x:v>
      </x:c>
      <x:c r="I6" s="34" t="str">
        <x:v>Identificação / aplicação</x:v>
      </x:c>
    </x:row>
    <x:row r="7" ht="42" customHeight="1">
      <x:c r="A7" s="32" t="n">
        <x:v>1</x:v>
      </x:c>
      <x:c r="B7" s="32" t="str">
        <x:v>Rack de parede 19" 12U Intelbras MRD 1257</x:v>
      </x:c>
      <x:c r="C7" s="32" t="str">
        <x:v>Intelbras MRD 1257</x:v>
      </x:c>
      <x:c r="D7" s="32" t="n">
        <x:v>1</x:v>
      </x:c>
      <x:c r="E7" s="32" t="str">
        <x:v>un</x:v>
      </x:c>
      <x:c r="F7" s="35" t="n">
        <x:f>'Orçamento'!E14</x:f>
        <x:v>1014.42</x:v>
      </x:c>
      <x:c r="G7" s="35" t="n">
        <x:f>ROUND(D7*F7,2)</x:f>
        <x:v>1014.42</x:v>
      </x:c>
      <x:c r="H7" s="32" t="str">
        <x:v>Equipamentos</x:v>
      </x:c>
      <x:c r="I7" s="32" t="str">
        <x:v>RACK-CPD</x:v>
      </x:c>
    </x:row>
    <x:row r="8" ht="42" customHeight="1">
      <x:c r="A8" s="32" t="n">
        <x:v>3</x:v>
      </x:c>
      <x:c r="B8" s="32" t="str">
        <x:v>Switch acesso 1º/3º TP-Link TL-SG116E, 16xGbE Easy Smart</x:v>
      </x:c>
      <x:c r="C8" s="32" t="str">
        <x:v>TP-Link TL-SG116E</x:v>
      </x:c>
      <x:c r="D8" s="32" t="n">
        <x:v>1</x:v>
      </x:c>
      <x:c r="E8" s="32" t="str">
        <x:v>un</x:v>
      </x:c>
      <x:c r="F8" s="35" t="n">
        <x:f>'Orçamento'!E16</x:f>
        <x:v>412.74</x:v>
      </x:c>
      <x:c r="G8" s="35" t="n">
        <x:f>ROUND(D8*F8,2)</x:f>
        <x:v>412.74</x:v>
      </x:c>
      <x:c r="H8" s="32" t="str">
        <x:v>Equipamentos</x:v>
      </x:c>
      <x:c r="I8" s="32" t="str">
        <x:v>SW-N3-01</x:v>
      </x:c>
    </x:row>
    <x:row r="9" ht="42" customHeight="1">
      <x:c r="A9" s="32" t="n">
        <x:v>5</x:v>
      </x:c>
      <x:c r="B9" s="32" t="str">
        <x:v>Switch distribuição/PoE TP-Link TL-SG2210MP, 8xPoE+ + 2 SFP, 150 W</x:v>
      </x:c>
      <x:c r="C9" s="32" t="str">
        <x:v>TP-Link TL-SG2210MP</x:v>
      </x:c>
      <x:c r="D9" s="32" t="n">
        <x:v>1</x:v>
      </x:c>
      <x:c r="E9" s="32" t="str">
        <x:v>un</x:v>
      </x:c>
      <x:c r="F9" s="35" t="n">
        <x:f>'Orçamento'!E18</x:f>
        <x:v>1044</x:v>
      </x:c>
      <x:c r="G9" s="35" t="n">
        <x:f>ROUND(D9*F9,2)</x:f>
        <x:v>1044</x:v>
      </x:c>
      <x:c r="H9" s="32" t="str">
        <x:v>Equipamentos</x:v>
      </x:c>
      <x:c r="I9" s="32" t="str">
        <x:v>SW-BB-1</x:v>
      </x:c>
    </x:row>
    <x:row r="10" ht="42" customHeight="1">
      <x:c r="A10" s="32" t="n">
        <x:v>7</x:v>
      </x:c>
      <x:c r="B10" s="32" t="str">
        <x:v>AP corporativo TP-Link EAP610 Wi-Fi 6, 802.3at</x:v>
      </x:c>
      <x:c r="C10" s="32" t="str">
        <x:v>TP-Link EAP610</x:v>
      </x:c>
      <x:c r="D10" s="32" t="n">
        <x:v>1</x:v>
      </x:c>
      <x:c r="E10" s="32" t="str">
        <x:v>un</x:v>
      </x:c>
      <x:c r="F10" s="35" t="n">
        <x:f>'Orçamento'!E20</x:f>
        <x:v>849.9</x:v>
      </x:c>
      <x:c r="G10" s="35" t="n">
        <x:f>ROUND(D10*F10,2)</x:f>
        <x:v>849.9</x:v>
      </x:c>
      <x:c r="H10" s="32" t="str">
        <x:v>Equipamentos</x:v>
      </x:c>
      <x:c r="I10" s="32" t="str">
        <x:v>AP-1-01</x:v>
      </x:c>
    </x:row>
    <x:row r="11" ht="42" customHeight="1">
      <x:c r="A11" s="32" t="n">
        <x:v>9</x:v>
      </x:c>
      <x:c r="B11" s="32" t="str">
        <x:v>Servidor principal Lenovo ST50 V3 Xeon E-2414, 16 GB, 2 TB</x:v>
      </x:c>
      <x:c r="C11" s="32" t="str">
        <x:v>Lenovo ST50 V3 / 7DF3S3DG00</x:v>
      </x:c>
      <x:c r="D11" s="32" t="n">
        <x:v>1</x:v>
      </x:c>
      <x:c r="E11" s="32" t="str">
        <x:v>un</x:v>
      </x:c>
      <x:c r="F11" s="35" t="n">
        <x:f>'Orçamento'!E22</x:f>
        <x:v>11287.48</x:v>
      </x:c>
      <x:c r="G11" s="35" t="n">
        <x:f>ROUND(D11*F11,2)</x:f>
        <x:v>11287.48</x:v>
      </x:c>
      <x:c r="H11" s="32" t="str">
        <x:v>Equipamentos</x:v>
      </x:c>
      <x:c r="I11" s="32" t="str">
        <x:v>SRV-01</x:v>
      </x:c>
    </x:row>
    <x:row r="12" ht="42" customHeight="1">
      <x:c r="A12" s="32" t="n">
        <x:v>10</x:v>
      </x:c>
      <x:c r="B12" s="32" t="str">
        <x:v>Servidor backup Lenovo ST50 V3 Xeon E-2414, 16 GB, 2 TB</x:v>
      </x:c>
      <x:c r="C12" s="32" t="str">
        <x:v>Lenovo ST50 V3 / 7DF3S3DG00</x:v>
      </x:c>
      <x:c r="D12" s="32" t="n">
        <x:v>1</x:v>
      </x:c>
      <x:c r="E12" s="32" t="str">
        <x:v>un</x:v>
      </x:c>
      <x:c r="F12" s="35" t="n">
        <x:f>'Orçamento'!E23</x:f>
        <x:v>11287.48</x:v>
      </x:c>
      <x:c r="G12" s="35" t="n">
        <x:f>ROUND(D12*F12,2)</x:f>
        <x:v>11287.48</x:v>
      </x:c>
      <x:c r="H12" s="32" t="str">
        <x:v>Equipamentos</x:v>
      </x:c>
      <x:c r="I12" s="32" t="str">
        <x:v>BKP-01</x:v>
      </x:c>
    </x:row>
    <x:row r="13" ht="42" customHeight="1">
      <x:c r="A13" s="32" t="n">
        <x:v>11</x:v>
      </x:c>
      <x:c r="B13" s="32" t="str">
        <x:v>Computador completo BluePC PRO CDBP-PRO142, i3-12100F, 8 GB, SSD 256 GB</x:v>
      </x:c>
      <x:c r="C13" s="32" t="str">
        <x:v>BluePC CDBP-PRO142</x:v>
      </x:c>
      <x:c r="D13" s="32" t="n">
        <x:v>6</x:v>
      </x:c>
      <x:c r="E13" s="32" t="str">
        <x:v>un</x:v>
      </x:c>
      <x:c r="F13" s="35" t="n">
        <x:f>'Orçamento'!E24</x:f>
        <x:v>2669</x:v>
      </x:c>
      <x:c r="G13" s="35" t="n">
        <x:f>ROUND(D13*F13,2)</x:f>
        <x:v>16014</x:v>
      </x:c>
      <x:c r="H13" s="32" t="str">
        <x:v>Equipamentos</x:v>
      </x:c>
      <x:c r="I13" s="32" t="str">
        <x:v>N3-01 a N3-06</x:v>
      </x:c>
    </x:row>
    <x:row r="14" ht="42" customHeight="1">
      <x:c r="A14" s="32" t="n">
        <x:v>13</x:v>
      </x:c>
      <x:c r="B14" s="32" t="str">
        <x:v>Nobreak SMS Gamer 1500 VA/1050 W senoidal pura</x:v>
      </x:c>
      <x:c r="C14" s="32" t="str">
        <x:v>SMS Gamer 29600</x:v>
      </x:c>
      <x:c r="D14" s="32" t="n">
        <x:v>2</x:v>
      </x:c>
      <x:c r="E14" s="32" t="str">
        <x:v>un</x:v>
      </x:c>
      <x:c r="F14" s="35" t="n">
        <x:f>'Orçamento'!E26</x:f>
        <x:v>2288</x:v>
      </x:c>
      <x:c r="G14" s="35" t="n">
        <x:f>ROUND(D14*F14,2)</x:f>
        <x:v>4576</x:v>
      </x:c>
      <x:c r="H14" s="32" t="str">
        <x:v>Equipamentos</x:v>
      </x:c>
      <x:c r="I14" s="32" t="str">
        <x:v>Sala de servidores: 1 para SRV-01, 1 para BKP-01 e rede do 1º andar</x:v>
      </x:c>
    </x:row>
    <x:row r="15" ht="42" customHeight="1">
      <x:c r="A15" s="32" t="n">
        <x:v>14</x:v>
      </x:c>
      <x:c r="B15" s="32" t="str">
        <x:v>Cabo U/UTP Cat6 Furukawa SOHOPLUS, caixa 305 m</x:v>
      </x:c>
      <x:c r="C15" s="32" t="str">
        <x:v>Furukawa SOHOPLUS 23400199</x:v>
      </x:c>
      <x:c r="D15" s="32" t="n">
        <x:v>116</x:v>
      </x:c>
      <x:c r="E15" s="32" t="str">
        <x:v>m (rateio)</x:v>
      </x:c>
      <x:c r="F15" s="35" t="n">
        <x:f>'Orçamento'!E27/305</x:f>
        <x:v>3.934098360655738</x:v>
      </x:c>
      <x:c r="G15" s="35" t="n">
        <x:f>ROUND(D15*F15,2)</x:f>
        <x:v>456.36</x:v>
      </x:c>
      <x:c r="H15" s="32" t="str">
        <x:v>Cabeamento</x:v>
      </x:c>
      <x:c r="I15" s="32" t="str">
        <x:v>Rateio financeiro do material comprado</x:v>
      </x:c>
    </x:row>
    <x:row r="16" ht="42" customHeight="1">
      <x:c r="A16" s="32" t="n">
        <x:v>15</x:v>
      </x:c>
      <x:c r="B16" s="32" t="str">
        <x:v>Cabo óptico monomodo 6FO antichamas, rolo 50 m</x:v>
      </x:c>
      <x:c r="C16" s="32" t="str">
        <x:v>Monomodo 6FO antichamas / 50 m (SKU não informado)</x:v>
      </x:c>
      <x:c r="D16" s="32" t="n">
        <x:v>25</x:v>
      </x:c>
      <x:c r="E16" s="32" t="str">
        <x:v>m (rateio)</x:v>
      </x:c>
      <x:c r="F16" s="35" t="n">
        <x:f>'Orçamento'!E28/50</x:f>
        <x:v>9.0928</x:v>
      </x:c>
      <x:c r="G16" s="35" t="n">
        <x:f>ROUND(D16*F16,2)</x:f>
        <x:v>227.32</x:v>
      </x:c>
      <x:c r="H16" s="32" t="str">
        <x:v>Cabeamento</x:v>
      </x:c>
      <x:c r="I16" s="32" t="str">
        <x:v>Rateio financeiro do material comprado</x:v>
      </x:c>
    </x:row>
    <x:row r="17" ht="42" customHeight="1">
      <x:c r="A17" s="32" t="n">
        <x:v>16</x:v>
      </x:c>
      <x:c r="B17" s="32" t="str">
        <x:v>Patch panel Cat6 Furukawa 24 portas</x:v>
      </x:c>
      <x:c r="C17" s="32" t="str">
        <x:v>Furukawa SOHOPLUS 35050439</x:v>
      </x:c>
      <x:c r="D17" s="32" t="n">
        <x:v>1</x:v>
      </x:c>
      <x:c r="E17" s="32" t="str">
        <x:v>un</x:v>
      </x:c>
      <x:c r="F17" s="35" t="n">
        <x:f>'Orçamento'!E29</x:f>
        <x:v>579.9</x:v>
      </x:c>
      <x:c r="G17" s="35" t="n">
        <x:f>ROUND(D17*F17,2)</x:f>
        <x:v>579.9</x:v>
      </x:c>
      <x:c r="H17" s="32" t="str">
        <x:v>Instalação</x:v>
      </x:c>
      <x:c r="I17" s="32" t="str">
        <x:v>1 por rack: térreo 3, 1º 7, 2º 15, 3º 11 terminações de área</x:v>
      </x:c>
    </x:row>
    <x:row r="18" ht="42" customHeight="1">
      <x:c r="A18" s="32" t="n">
        <x:v>17</x:v>
      </x:c>
      <x:c r="B18" s="32" t="str">
        <x:v>Keystone fêmea RJ45 Cat6</x:v>
      </x:c>
      <x:c r="C18" s="32" t="str">
        <x:v>RJ45 fêmea UTP Cat6 (SKU não informado)</x:v>
      </x:c>
      <x:c r="D18" s="32" t="n">
        <x:v>7</x:v>
      </x:c>
      <x:c r="E18" s="32" t="str">
        <x:v>un</x:v>
      </x:c>
      <x:c r="F18" s="35" t="n">
        <x:f>'Orçamento'!E30</x:f>
        <x:v>23.35</x:v>
      </x:c>
      <x:c r="G18" s="35" t="n">
        <x:f>ROUND(D18*F18,2)</x:f>
        <x:v>163.45</x:v>
      </x:c>
      <x:c r="H18" s="32" t="str">
        <x:v>Instalação</x:v>
      </x:c>
      <x:c r="I18" s="32" t="str">
        <x:v>31 desktops cabeados + 5 APs; servidores ligados localmente por patch cord</x:v>
      </x:c>
    </x:row>
    <x:row r="19" ht="42" customHeight="1">
      <x:c r="A19" s="32" t="n">
        <x:v>18</x:v>
      </x:c>
      <x:c r="B19" s="32" t="str">
        <x:v>Caixa de sobrepor 2 saídas para ponto de mesa</x:v>
      </x:c>
      <x:c r="C19" s="32" t="str">
        <x:v>Central Cabos ref. 3402</x:v>
      </x:c>
      <x:c r="D19" s="32" t="n">
        <x:v>6</x:v>
      </x:c>
      <x:c r="E19" s="32" t="str">
        <x:v>un</x:v>
      </x:c>
      <x:c r="F19" s="35" t="n">
        <x:f>'Orçamento'!E31</x:f>
        <x:v>5.22</x:v>
      </x:c>
      <x:c r="G19" s="35" t="n">
        <x:f>ROUND(D19*F19,2)</x:f>
        <x:v>31.32</x:v>
      </x:c>
      <x:c r="H19" s="32" t="str">
        <x:v>Instalação</x:v>
      </x:c>
      <x:c r="I19" s="32" t="str">
        <x:v>1 em cada estação cabeada; 5 APs usam caixa de teto própria</x:v>
      </x:c>
    </x:row>
    <x:row r="20" ht="42" customHeight="1">
      <x:c r="A20" s="32" t="n">
        <x:v>19</x:v>
      </x:c>
      <x:c r="B20" s="32" t="str">
        <x:v>Caixa octogonal PVC 4x4 Tramontina 57500/005 para AP</x:v>
      </x:c>
      <x:c r="C20" s="32" t="str">
        <x:v>Tramontina 57500/005</x:v>
      </x:c>
      <x:c r="D20" s="32" t="n">
        <x:v>1</x:v>
      </x:c>
      <x:c r="E20" s="32" t="str">
        <x:v>un</x:v>
      </x:c>
      <x:c r="F20" s="35" t="n">
        <x:f>'Orçamento'!E32</x:f>
        <x:v>10.2</x:v>
      </x:c>
      <x:c r="G20" s="35" t="n">
        <x:f>ROUND(D20*F20,2)</x:f>
        <x:v>10.2</x:v>
      </x:c>
      <x:c r="H20" s="32" t="str">
        <x:v>Instalação</x:v>
      </x:c>
      <x:c r="I20" s="32" t="str">
        <x:v>1 por AP para acomodar terminação, sujeito ao tipo de forro</x:v>
      </x:c>
    </x:row>
    <x:row r="21" ht="42" customHeight="1">
      <x:c r="A21" s="32" t="n">
        <x:v>20</x:v>
      </x:c>
      <x:c r="B21" s="32" t="str">
        <x:v>Patch cord X-cell Cat6 UTP 2 m</x:v>
      </x:c>
      <x:c r="C21" s="32" t="str">
        <x:v>X-cell Cat6 UTP 2 m (SKU não informado)</x:v>
      </x:c>
      <x:c r="D21" s="32" t="n">
        <x:v>18</x:v>
      </x:c>
      <x:c r="E21" s="32" t="str">
        <x:v>un</x:v>
      </x:c>
      <x:c r="F21" s="35" t="n">
        <x:f>'Orçamento'!E33</x:f>
        <x:v>14.9</x:v>
      </x:c>
      <x:c r="G21" s="35" t="n">
        <x:f>ROUND(D21*F21,2)</x:f>
        <x:v>268.2</x:v>
      </x:c>
      <x:c r="H21" s="32" t="str">
        <x:v>Instalação</x:v>
      </x:c>
      <x:c r="I21" s="32" t="str">
        <x:v>36 no rack + 36 nas pontas + 2 servidores + 4 interswitch + 1 gateway + 1 reserva</x:v>
      </x:c>
    </x:row>
    <x:row r="22" ht="42" customHeight="1">
      <x:c r="A22" s="32" t="n">
        <x:v>21</x:v>
      </x:c>
      <x:c r="B22" s="32" t="str">
        <x:v>PDU Max Eletron 19", 8 tomadas 10 A</x:v>
      </x:c>
      <x:c r="C22" s="32" t="str">
        <x:v>Max Eletron 19" / 8 tomadas 10 A (SKU não informado)</x:v>
      </x:c>
      <x:c r="D22" s="32" t="n">
        <x:v>1</x:v>
      </x:c>
      <x:c r="E22" s="32" t="str">
        <x:v>un</x:v>
      </x:c>
      <x:c r="F22" s="35" t="n">
        <x:f>'Orçamento'!E34</x:f>
        <x:v>94.9</x:v>
      </x:c>
      <x:c r="G22" s="35" t="n">
        <x:f>ROUND(D22*F22,2)</x:f>
        <x:v>94.9</x:v>
      </x:c>
      <x:c r="H22" s="32" t="str">
        <x:v>Instalação</x:v>
      </x:c>
      <x:c r="I22" s="32" t="str">
        <x:v>1 PDU por rack, alimentada por nobreak dimensionado</x:v>
      </x:c>
    </x:row>
    <x:row r="23" ht="42" customHeight="1">
      <x:c r="A23" s="32" t="n">
        <x:v>22</x:v>
      </x:c>
      <x:c r="B23" s="32" t="str">
        <x:v>Mini DIO 6FO monomodo LC/UPC com pigtails</x:v>
      </x:c>
      <x:c r="C23" s="32" t="str">
        <x:v>Mini-DIO-6FO LC/UPC (referência do fornecedor)</x:v>
      </x:c>
      <x:c r="D23" s="32" t="n">
        <x:v>1</x:v>
      </x:c>
      <x:c r="E23" s="32" t="str">
        <x:v>un</x:v>
      </x:c>
      <x:c r="F23" s="35" t="n">
        <x:f>'Orçamento'!E35</x:f>
        <x:v>351.12</x:v>
      </x:c>
      <x:c r="G23" s="35" t="n">
        <x:f>ROUND(D23*F23,2)</x:f>
        <x:v>351.12</x:v>
      </x:c>
      <x:c r="H23" s="32" t="str">
        <x:v>Instalação</x:v>
      </x:c>
      <x:c r="I23" s="32" t="str">
        <x:v>1 por rack; 2 fibras por enlace; 4 fibras ativas nos andares 1 e 2</x:v>
      </x:c>
    </x:row>
    <x:row r="24" ht="42" customHeight="1">
      <x:c r="A24" s="32" t="n">
        <x:v>23</x:v>
      </x:c>
      <x:c r="B24" s="32" t="str">
        <x:v>Módulo SFP TP-Link TL-SM311LS monomodo LC</x:v>
      </x:c>
      <x:c r="C24" s="32" t="str">
        <x:v>TP-Link TL-SM311LS</x:v>
      </x:c>
      <x:c r="D24" s="32" t="n">
        <x:v>2</x:v>
      </x:c>
      <x:c r="E24" s="32" t="str">
        <x:v>un</x:v>
      </x:c>
      <x:c r="F24" s="35" t="n">
        <x:f>'Orçamento'!E36</x:f>
        <x:v>103.55</x:v>
      </x:c>
      <x:c r="G24" s="35" t="n">
        <x:f>ROUND(D24*F24,2)</x:f>
        <x:v>207.1</x:v>
      </x:c>
      <x:c r="H24" s="32" t="str">
        <x:v>Instalação</x:v>
      </x:c>
      <x:c r="I24" s="32" t="str">
        <x:v>3 enlaces ópticos adjacentes × 2 pontas; confirmar compatibilidade por revisão</x:v>
      </x:c>
    </x:row>
    <x:row r="25" ht="42" customHeight="1">
      <x:c r="A25" s="32" t="n">
        <x:v>24</x:v>
      </x:c>
      <x:c r="B25" s="32" t="str">
        <x:v>Cordão óptico duplex monomodo LC/UPC 2 m</x:v>
      </x:c>
      <x:c r="C25" s="32" t="str">
        <x:v>SM 9/125 LC/UPC-LC/UPC 2 m (SKU não informado)</x:v>
      </x:c>
      <x:c r="D25" s="32" t="n">
        <x:v>2</x:v>
      </x:c>
      <x:c r="E25" s="32" t="str">
        <x:v>un</x:v>
      </x:c>
      <x:c r="F25" s="35" t="n">
        <x:f>'Orçamento'!E37</x:f>
        <x:v>73.11</x:v>
      </x:c>
      <x:c r="G25" s="35" t="n">
        <x:f>ROUND(D25*F25,2)</x:f>
        <x:v>146.22</x:v>
      </x:c>
      <x:c r="H25" s="32" t="str">
        <x:v>Instalação</x:v>
      </x:c>
      <x:c r="I25" s="32" t="str">
        <x:v>1 DIO–SFP por transceptor; LC/UPC nas duas pontas</x:v>
      </x:c>
    </x:row>
    <x:row r="26" ht="42" customHeight="1">
      <x:c r="A26" s="32" t="n">
        <x:v>25</x:v>
      </x:c>
      <x:c r="B26" s="32" t="str">
        <x:v>Guia horizontal Caesa 1U x 55 mm</x:v>
      </x:c>
      <x:c r="C26" s="32" t="str">
        <x:v>Caesa 1U x 55 mm (SKU não informado)</x:v>
      </x:c>
      <x:c r="D26" s="32" t="n">
        <x:v>1</x:v>
      </x:c>
      <x:c r="E26" s="32" t="str">
        <x:v>un</x:v>
      </x:c>
      <x:c r="F26" s="35" t="n">
        <x:f>'Orçamento'!E38</x:f>
        <x:v>36</x:v>
      </x:c>
      <x:c r="G26" s="35" t="n">
        <x:f>ROUND(D26*F26,2)</x:f>
        <x:v>36</x:v>
      </x:c>
      <x:c r="H26" s="32" t="str">
        <x:v>Instalação</x:v>
      </x:c>
      <x:c r="I26" s="32" t="str">
        <x:v>1 por rack entre patch panel e switches; separar cobre/óptico</x:v>
      </x:c>
    </x:row>
    <x:row r="28">
      <x:c r="A28" t="str">
        <x:v>Cat6: rateio de 610 m (34 / 116 / 304 / 156 m). Fibra: rateio financeiro igual de 25 m por piso.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55" hidden="0" customWidth="1"/>
    <x:col min="3" max="3" width="47" hidden="0" customWidth="1"/>
    <x:col min="4" max="4" width="12" hidden="0" customWidth="1"/>
    <x:col min="5" max="5" width="12" hidden="0" customWidth="1"/>
    <x:col min="6" max="6" width="17" hidden="0" customWidth="1"/>
    <x:col min="7" max="7" width="17" hidden="0" customWidth="1"/>
    <x:col min="8" max="8" width="16" hidden="0" customWidth="1"/>
    <x:col min="9" max="9" width="50" hidden="0" customWidth="1"/>
  </x:cols>
  <x:sheetData>
    <x:row r="1">
      <x:c r="A1" s="31" t="str">
        <x:v>TI Connect | Orçamento - 2º andar</x:v>
      </x:c>
      <x:c r="B1" s="31"/>
      <x:c r="C1" s="31"/>
      <x:c r="D1" s="31"/>
      <x:c r="E1" s="31"/>
      <x:c r="F1" s="31"/>
      <x:c r="G1" s="31"/>
      <x:c r="H1" s="31"/>
      <x:c r="I1" s="31"/>
    </x:row>
    <x:row r="2">
      <x:c r="A2" s="31" t="str">
        <x:v>Equipamentos locais + materiais atribuídos ao pavimento</x:v>
      </x:c>
      <x:c r="B2" s="31"/>
      <x:c r="C2" s="31"/>
      <x:c r="D2" s="31"/>
      <x:c r="E2" s="31"/>
      <x:c r="F2" s="31"/>
      <x:c r="G2" s="31"/>
      <x:c r="H2" s="31"/>
      <x:c r="I2" s="31"/>
    </x:row>
    <x:row r="3">
      <x:c r="A3" s="31"/>
      <x:c r="B3" s="31"/>
      <x:c r="C3" s="31"/>
      <x:c r="D3" s="31"/>
      <x:c r="E3" s="31"/>
      <x:c r="F3" s="31"/>
      <x:c r="G3" s="31"/>
      <x:c r="H3" s="31"/>
      <x:c r="I3" s="31"/>
    </x:row>
    <x:row r="4">
      <x:c r="A4" s="37" t="str">
        <x:v>TOTAL DO PAVIMENTO</x:v>
      </x:c>
      <x:c r="B4" s="37"/>
      <x:c r="C4" s="37"/>
      <x:c r="D4" s="37"/>
      <x:c r="E4" s="37"/>
      <x:c r="F4" s="37"/>
      <x:c r="G4" s="38" t="n">
        <x:f>SUM(G7:G24)</x:f>
        <x:v>45527.9</x:v>
      </x:c>
      <x:c r="H4" s="37"/>
      <x:c r="I4" s="37"/>
    </x:row>
    <x:row r="5">
      <x:c r="A5" s="31"/>
      <x:c r="B5" s="31"/>
      <x:c r="C5" s="31"/>
      <x:c r="D5" s="31"/>
      <x:c r="E5" s="31"/>
      <x:c r="F5" s="31"/>
      <x:c r="G5" s="31"/>
      <x:c r="H5" s="31"/>
      <x:c r="I5" s="31"/>
    </x:row>
    <x:row r="6" ht="28" customHeight="1">
      <x:c r="A6" s="34" t="str">
        <x:v>ID</x:v>
      </x:c>
      <x:c r="B6" s="34" t="str">
        <x:v>Item / nome</x:v>
      </x:c>
      <x:c r="C6" s="34" t="str">
        <x:v>Modelo / referência</x:v>
      </x:c>
      <x:c r="D6" s="34" t="str">
        <x:v>Qtd.</x:v>
      </x:c>
      <x:c r="E6" s="34" t="str">
        <x:v>Un.</x:v>
      </x:c>
      <x:c r="F6" s="34" t="str">
        <x:v>Preço unitário</x:v>
      </x:c>
      <x:c r="G6" s="34" t="str">
        <x:v>Subtotal</x:v>
      </x:c>
      <x:c r="H6" s="34" t="str">
        <x:v>Grupo</x:v>
      </x:c>
      <x:c r="I6" s="34" t="str">
        <x:v>Identificação / aplicação</x:v>
      </x:c>
    </x:row>
    <x:row r="7" ht="42" customHeight="1">
      <x:c r="A7" s="32" t="n">
        <x:v>1</x:v>
      </x:c>
      <x:c r="B7" s="32" t="str">
        <x:v>Rack de parede 19" 12U Intelbras MRD 1257</x:v>
      </x:c>
      <x:c r="C7" s="32" t="str">
        <x:v>Intelbras MRD 1257</x:v>
      </x:c>
      <x:c r="D7" s="32" t="n">
        <x:v>1</x:v>
      </x:c>
      <x:c r="E7" s="32" t="str">
        <x:v>un</x:v>
      </x:c>
      <x:c r="F7" s="35" t="n">
        <x:f>'Orçamento'!E14</x:f>
        <x:v>1014.42</x:v>
      </x:c>
      <x:c r="G7" s="35" t="n">
        <x:f>ROUND(D7*F7,2)</x:f>
        <x:v>1014.42</x:v>
      </x:c>
      <x:c r="H7" s="32" t="str">
        <x:v>Equipamentos</x:v>
      </x:c>
      <x:c r="I7" s="32" t="str">
        <x:v>RACK-2</x:v>
      </x:c>
    </x:row>
    <x:row r="8" ht="42" customHeight="1">
      <x:c r="A8" s="32" t="n">
        <x:v>4</x:v>
      </x:c>
      <x:c r="B8" s="32" t="str">
        <x:v>Switch acesso 2º TP-Link Omada ES224G, 24xGbE Easy Managed</x:v>
      </x:c>
      <x:c r="C8" s="32" t="str">
        <x:v>TP-Link ES224G</x:v>
      </x:c>
      <x:c r="D8" s="32" t="n">
        <x:v>1</x:v>
      </x:c>
      <x:c r="E8" s="32" t="str">
        <x:v>un</x:v>
      </x:c>
      <x:c r="F8" s="35" t="n">
        <x:f>'Orçamento'!E17</x:f>
        <x:v>999.99</x:v>
      </x:c>
      <x:c r="G8" s="35" t="n">
        <x:f>ROUND(D8*F8,2)</x:f>
        <x:v>999.99</x:v>
      </x:c>
      <x:c r="H8" s="32" t="str">
        <x:v>Equipamentos</x:v>
      </x:c>
      <x:c r="I8" s="32" t="str">
        <x:v>SW-TMK-01</x:v>
      </x:c>
    </x:row>
    <x:row r="9" ht="42" customHeight="1">
      <x:c r="A9" s="32" t="n">
        <x:v>5</x:v>
      </x:c>
      <x:c r="B9" s="32" t="str">
        <x:v>Switch distribuição/PoE TP-Link TL-SG2210MP, 8xPoE+ + 2 SFP, 150 W</x:v>
      </x:c>
      <x:c r="C9" s="32" t="str">
        <x:v>TP-Link TL-SG2210MP</x:v>
      </x:c>
      <x:c r="D9" s="32" t="n">
        <x:v>1</x:v>
      </x:c>
      <x:c r="E9" s="32" t="str">
        <x:v>un</x:v>
      </x:c>
      <x:c r="F9" s="35" t="n">
        <x:f>'Orçamento'!E18</x:f>
        <x:v>1044</x:v>
      </x:c>
      <x:c r="G9" s="35" t="n">
        <x:f>ROUND(D9*F9,2)</x:f>
        <x:v>1044</x:v>
      </x:c>
      <x:c r="H9" s="32" t="str">
        <x:v>Equipamentos</x:v>
      </x:c>
      <x:c r="I9" s="32" t="str">
        <x:v>SW-BB-2</x:v>
      </x:c>
    </x:row>
    <x:row r="10" ht="42" customHeight="1">
      <x:c r="A10" s="32" t="n">
        <x:v>7</x:v>
      </x:c>
      <x:c r="B10" s="32" t="str">
        <x:v>AP corporativo TP-Link EAP610 Wi-Fi 6, 802.3at</x:v>
      </x:c>
      <x:c r="C10" s="32" t="str">
        <x:v>TP-Link EAP610</x:v>
      </x:c>
      <x:c r="D10" s="32" t="n">
        <x:v>1</x:v>
      </x:c>
      <x:c r="E10" s="32" t="str">
        <x:v>un</x:v>
      </x:c>
      <x:c r="F10" s="35" t="n">
        <x:f>'Orçamento'!E20</x:f>
        <x:v>849.9</x:v>
      </x:c>
      <x:c r="G10" s="35" t="n">
        <x:f>ROUND(D10*F10,2)</x:f>
        <x:v>849.9</x:v>
      </x:c>
      <x:c r="H10" s="32" t="str">
        <x:v>Equipamentos</x:v>
      </x:c>
      <x:c r="I10" s="32" t="str">
        <x:v>AP-2-01</x:v>
      </x:c>
    </x:row>
    <x:row r="11" ht="42" customHeight="1">
      <x:c r="A11" s="32" t="n">
        <x:v>11</x:v>
      </x:c>
      <x:c r="B11" s="32" t="str">
        <x:v>Computador completo BluePC PRO CDBP-PRO142, i3-12100F, 8 GB, SSD 256 GB</x:v>
      </x:c>
      <x:c r="C11" s="32" t="str">
        <x:v>BluePC CDBP-PRO142</x:v>
      </x:c>
      <x:c r="D11" s="32" t="n">
        <x:v>14</x:v>
      </x:c>
      <x:c r="E11" s="32" t="str">
        <x:v>un</x:v>
      </x:c>
      <x:c r="F11" s="35" t="n">
        <x:f>'Orçamento'!E24</x:f>
        <x:v>2669</x:v>
      </x:c>
      <x:c r="G11" s="35" t="n">
        <x:f>ROUND(D11*F11,2)</x:f>
        <x:v>37366</x:v>
      </x:c>
      <x:c r="H11" s="32" t="str">
        <x:v>Equipamentos</x:v>
      </x:c>
      <x:c r="I11" s="32" t="str">
        <x:v>TMK-01 a TMK-14</x:v>
      </x:c>
    </x:row>
    <x:row r="12" ht="42" customHeight="1">
      <x:c r="A12" s="32" t="n">
        <x:v>12</x:v>
      </x:c>
      <x:c r="B12" s="32" t="str">
        <x:v>Nobreak Intelbras ATTIV 700 VA para rede de andar</x:v>
      </x:c>
      <x:c r="C12" s="32" t="str">
        <x:v>Intelbras ATTIV 700 VA / 220 V</x:v>
      </x:c>
      <x:c r="D12" s="32" t="n">
        <x:v>1</x:v>
      </x:c>
      <x:c r="E12" s="32" t="str">
        <x:v>un</x:v>
      </x:c>
      <x:c r="F12" s="35" t="n">
        <x:f>'Orçamento'!E25</x:f>
        <x:v>519.63</x:v>
      </x:c>
      <x:c r="G12" s="35" t="n">
        <x:f>ROUND(D12*F12,2)</x:f>
        <x:v>519.63</x:v>
      </x:c>
      <x:c r="H12" s="32" t="str">
        <x:v>Equipamentos</x:v>
      </x:c>
      <x:c r="I12" s="32" t="str">
        <x:v>Térreo, 2º e 3º: switches/roteador/APs; tensão e autonomia a validar</x:v>
      </x:c>
    </x:row>
    <x:row r="13" ht="42" customHeight="1">
      <x:c r="A13" s="32" t="n">
        <x:v>14</x:v>
      </x:c>
      <x:c r="B13" s="32" t="str">
        <x:v>Cabo U/UTP Cat6 Furukawa SOHOPLUS, caixa 305 m</x:v>
      </x:c>
      <x:c r="C13" s="32" t="str">
        <x:v>Furukawa SOHOPLUS 23400199</x:v>
      </x:c>
      <x:c r="D13" s="32" t="n">
        <x:v>304</x:v>
      </x:c>
      <x:c r="E13" s="32" t="str">
        <x:v>m (rateio)</x:v>
      </x:c>
      <x:c r="F13" s="35" t="n">
        <x:f>'Orçamento'!E27/305</x:f>
        <x:v>3.934098360655738</x:v>
      </x:c>
      <x:c r="G13" s="35" t="n">
        <x:f>ROUND(D13*F13,2)</x:f>
        <x:v>1195.97</x:v>
      </x:c>
      <x:c r="H13" s="32" t="str">
        <x:v>Cabeamento</x:v>
      </x:c>
      <x:c r="I13" s="32" t="str">
        <x:v>Rateio financeiro do material comprado</x:v>
      </x:c>
    </x:row>
    <x:row r="14" ht="42" customHeight="1">
      <x:c r="A14" s="32" t="n">
        <x:v>15</x:v>
      </x:c>
      <x:c r="B14" s="32" t="str">
        <x:v>Cabo óptico monomodo 6FO antichamas, rolo 50 m</x:v>
      </x:c>
      <x:c r="C14" s="32" t="str">
        <x:v>Monomodo 6FO antichamas / 50 m (SKU não informado)</x:v>
      </x:c>
      <x:c r="D14" s="32" t="n">
        <x:v>25</x:v>
      </x:c>
      <x:c r="E14" s="32" t="str">
        <x:v>m (rateio)</x:v>
      </x:c>
      <x:c r="F14" s="35" t="n">
        <x:f>'Orçamento'!E28/50</x:f>
        <x:v>9.0928</x:v>
      </x:c>
      <x:c r="G14" s="35" t="n">
        <x:f>ROUND(D14*F14,2)</x:f>
        <x:v>227.32</x:v>
      </x:c>
      <x:c r="H14" s="32" t="str">
        <x:v>Cabeamento</x:v>
      </x:c>
      <x:c r="I14" s="32" t="str">
        <x:v>Rateio financeiro do material comprado</x:v>
      </x:c>
    </x:row>
    <x:row r="15" ht="42" customHeight="1">
      <x:c r="A15" s="32" t="n">
        <x:v>16</x:v>
      </x:c>
      <x:c r="B15" s="32" t="str">
        <x:v>Patch panel Cat6 Furukawa 24 portas</x:v>
      </x:c>
      <x:c r="C15" s="32" t="str">
        <x:v>Furukawa SOHOPLUS 35050439</x:v>
      </x:c>
      <x:c r="D15" s="32" t="n">
        <x:v>1</x:v>
      </x:c>
      <x:c r="E15" s="32" t="str">
        <x:v>un</x:v>
      </x:c>
      <x:c r="F15" s="35" t="n">
        <x:f>'Orçamento'!E29</x:f>
        <x:v>579.9</x:v>
      </x:c>
      <x:c r="G15" s="35" t="n">
        <x:f>ROUND(D15*F15,2)</x:f>
        <x:v>579.9</x:v>
      </x:c>
      <x:c r="H15" s="32" t="str">
        <x:v>Instalação</x:v>
      </x:c>
      <x:c r="I15" s="32" t="str">
        <x:v>1 por rack: térreo 3, 1º 7, 2º 15, 3º 11 terminações de área</x:v>
      </x:c>
    </x:row>
    <x:row r="16" ht="42" customHeight="1">
      <x:c r="A16" s="32" t="n">
        <x:v>17</x:v>
      </x:c>
      <x:c r="B16" s="32" t="str">
        <x:v>Keystone fêmea RJ45 Cat6</x:v>
      </x:c>
      <x:c r="C16" s="32" t="str">
        <x:v>RJ45 fêmea UTP Cat6 (SKU não informado)</x:v>
      </x:c>
      <x:c r="D16" s="32" t="n">
        <x:v>15</x:v>
      </x:c>
      <x:c r="E16" s="32" t="str">
        <x:v>un</x:v>
      </x:c>
      <x:c r="F16" s="35" t="n">
        <x:f>'Orçamento'!E30</x:f>
        <x:v>23.35</x:v>
      </x:c>
      <x:c r="G16" s="35" t="n">
        <x:f>ROUND(D16*F16,2)</x:f>
        <x:v>350.25</x:v>
      </x:c>
      <x:c r="H16" s="32" t="str">
        <x:v>Instalação</x:v>
      </x:c>
      <x:c r="I16" s="32" t="str">
        <x:v>31 desktops cabeados + 5 APs; servidores ligados localmente por patch cord</x:v>
      </x:c>
    </x:row>
    <x:row r="17" ht="42" customHeight="1">
      <x:c r="A17" s="32" t="n">
        <x:v>18</x:v>
      </x:c>
      <x:c r="B17" s="32" t="str">
        <x:v>Caixa de sobrepor 2 saídas para ponto de mesa</x:v>
      </x:c>
      <x:c r="C17" s="32" t="str">
        <x:v>Central Cabos ref. 3402</x:v>
      </x:c>
      <x:c r="D17" s="32" t="n">
        <x:v>14</x:v>
      </x:c>
      <x:c r="E17" s="32" t="str">
        <x:v>un</x:v>
      </x:c>
      <x:c r="F17" s="35" t="n">
        <x:f>'Orçamento'!E31</x:f>
        <x:v>5.22</x:v>
      </x:c>
      <x:c r="G17" s="35" t="n">
        <x:f>ROUND(D17*F17,2)</x:f>
        <x:v>73.08</x:v>
      </x:c>
      <x:c r="H17" s="32" t="str">
        <x:v>Instalação</x:v>
      </x:c>
      <x:c r="I17" s="32" t="str">
        <x:v>1 em cada estação cabeada; 5 APs usam caixa de teto própria</x:v>
      </x:c>
    </x:row>
    <x:row r="18" ht="42" customHeight="1">
      <x:c r="A18" s="32" t="n">
        <x:v>19</x:v>
      </x:c>
      <x:c r="B18" s="32" t="str">
        <x:v>Caixa octogonal PVC 4x4 Tramontina 57500/005 para AP</x:v>
      </x:c>
      <x:c r="C18" s="32" t="str">
        <x:v>Tramontina 57500/005</x:v>
      </x:c>
      <x:c r="D18" s="32" t="n">
        <x:v>1</x:v>
      </x:c>
      <x:c r="E18" s="32" t="str">
        <x:v>un</x:v>
      </x:c>
      <x:c r="F18" s="35" t="n">
        <x:f>'Orçamento'!E32</x:f>
        <x:v>10.2</x:v>
      </x:c>
      <x:c r="G18" s="35" t="n">
        <x:f>ROUND(D18*F18,2)</x:f>
        <x:v>10.2</x:v>
      </x:c>
      <x:c r="H18" s="32" t="str">
        <x:v>Instalação</x:v>
      </x:c>
      <x:c r="I18" s="32" t="str">
        <x:v>1 por AP para acomodar terminação, sujeito ao tipo de forro</x:v>
      </x:c>
    </x:row>
    <x:row r="19" ht="42" customHeight="1">
      <x:c r="A19" s="32" t="n">
        <x:v>20</x:v>
      </x:c>
      <x:c r="B19" s="32" t="str">
        <x:v>Patch cord X-cell Cat6 UTP 2 m</x:v>
      </x:c>
      <x:c r="C19" s="32" t="str">
        <x:v>X-cell Cat6 UTP 2 m (SKU não informado)</x:v>
      </x:c>
      <x:c r="D19" s="32" t="n">
        <x:v>31</x:v>
      </x:c>
      <x:c r="E19" s="32" t="str">
        <x:v>un</x:v>
      </x:c>
      <x:c r="F19" s="35" t="n">
        <x:f>'Orçamento'!E33</x:f>
        <x:v>14.9</x:v>
      </x:c>
      <x:c r="G19" s="35" t="n">
        <x:f>ROUND(D19*F19,2)</x:f>
        <x:v>461.9</x:v>
      </x:c>
      <x:c r="H19" s="32" t="str">
        <x:v>Instalação</x:v>
      </x:c>
      <x:c r="I19" s="32" t="str">
        <x:v>36 no rack + 36 nas pontas + 2 servidores + 4 interswitch + 1 gateway + 1 reserva</x:v>
      </x:c>
    </x:row>
    <x:row r="20" ht="42" customHeight="1">
      <x:c r="A20" s="32" t="n">
        <x:v>21</x:v>
      </x:c>
      <x:c r="B20" s="32" t="str">
        <x:v>PDU Max Eletron 19", 8 tomadas 10 A</x:v>
      </x:c>
      <x:c r="C20" s="32" t="str">
        <x:v>Max Eletron 19" / 8 tomadas 10 A (SKU não informado)</x:v>
      </x:c>
      <x:c r="D20" s="32" t="n">
        <x:v>1</x:v>
      </x:c>
      <x:c r="E20" s="32" t="str">
        <x:v>un</x:v>
      </x:c>
      <x:c r="F20" s="35" t="n">
        <x:f>'Orçamento'!E34</x:f>
        <x:v>94.9</x:v>
      </x:c>
      <x:c r="G20" s="35" t="n">
        <x:f>ROUND(D20*F20,2)</x:f>
        <x:v>94.9</x:v>
      </x:c>
      <x:c r="H20" s="32" t="str">
        <x:v>Instalação</x:v>
      </x:c>
      <x:c r="I20" s="32" t="str">
        <x:v>1 PDU por rack, alimentada por nobreak dimensionado</x:v>
      </x:c>
    </x:row>
    <x:row r="21" ht="42" customHeight="1">
      <x:c r="A21" s="32" t="n">
        <x:v>22</x:v>
      </x:c>
      <x:c r="B21" s="32" t="str">
        <x:v>Mini DIO 6FO monomodo LC/UPC com pigtails</x:v>
      </x:c>
      <x:c r="C21" s="32" t="str">
        <x:v>Mini-DIO-6FO LC/UPC (referência do fornecedor)</x:v>
      </x:c>
      <x:c r="D21" s="32" t="n">
        <x:v>1</x:v>
      </x:c>
      <x:c r="E21" s="32" t="str">
        <x:v>un</x:v>
      </x:c>
      <x:c r="F21" s="35" t="n">
        <x:f>'Orçamento'!E35</x:f>
        <x:v>351.12</x:v>
      </x:c>
      <x:c r="G21" s="35" t="n">
        <x:f>ROUND(D21*F21,2)</x:f>
        <x:v>351.12</x:v>
      </x:c>
      <x:c r="H21" s="32" t="str">
        <x:v>Instalação</x:v>
      </x:c>
      <x:c r="I21" s="32" t="str">
        <x:v>1 por rack; 2 fibras por enlace; 4 fibras ativas nos andares 1 e 2</x:v>
      </x:c>
    </x:row>
    <x:row r="22" ht="42" customHeight="1">
      <x:c r="A22" s="32" t="n">
        <x:v>23</x:v>
      </x:c>
      <x:c r="B22" s="32" t="str">
        <x:v>Módulo SFP TP-Link TL-SM311LS monomodo LC</x:v>
      </x:c>
      <x:c r="C22" s="32" t="str">
        <x:v>TP-Link TL-SM311LS</x:v>
      </x:c>
      <x:c r="D22" s="32" t="n">
        <x:v>2</x:v>
      </x:c>
      <x:c r="E22" s="32" t="str">
        <x:v>un</x:v>
      </x:c>
      <x:c r="F22" s="35" t="n">
        <x:f>'Orçamento'!E36</x:f>
        <x:v>103.55</x:v>
      </x:c>
      <x:c r="G22" s="35" t="n">
        <x:f>ROUND(D22*F22,2)</x:f>
        <x:v>207.1</x:v>
      </x:c>
      <x:c r="H22" s="32" t="str">
        <x:v>Instalação</x:v>
      </x:c>
      <x:c r="I22" s="32" t="str">
        <x:v>3 enlaces ópticos adjacentes × 2 pontas; confirmar compatibilidade por revisão</x:v>
      </x:c>
    </x:row>
    <x:row r="23" ht="42" customHeight="1">
      <x:c r="A23" s="32" t="n">
        <x:v>24</x:v>
      </x:c>
      <x:c r="B23" s="32" t="str">
        <x:v>Cordão óptico duplex monomodo LC/UPC 2 m</x:v>
      </x:c>
      <x:c r="C23" s="32" t="str">
        <x:v>SM 9/125 LC/UPC-LC/UPC 2 m (SKU não informado)</x:v>
      </x:c>
      <x:c r="D23" s="32" t="n">
        <x:v>2</x:v>
      </x:c>
      <x:c r="E23" s="32" t="str">
        <x:v>un</x:v>
      </x:c>
      <x:c r="F23" s="35" t="n">
        <x:f>'Orçamento'!E37</x:f>
        <x:v>73.11</x:v>
      </x:c>
      <x:c r="G23" s="35" t="n">
        <x:f>ROUND(D23*F23,2)</x:f>
        <x:v>146.22</x:v>
      </x:c>
      <x:c r="H23" s="32" t="str">
        <x:v>Instalação</x:v>
      </x:c>
      <x:c r="I23" s="32" t="str">
        <x:v>1 DIO–SFP por transceptor; LC/UPC nas duas pontas</x:v>
      </x:c>
    </x:row>
    <x:row r="24" ht="42" customHeight="1">
      <x:c r="A24" s="32" t="n">
        <x:v>25</x:v>
      </x:c>
      <x:c r="B24" s="32" t="str">
        <x:v>Guia horizontal Caesa 1U x 55 mm</x:v>
      </x:c>
      <x:c r="C24" s="32" t="str">
        <x:v>Caesa 1U x 55 mm (SKU não informado)</x:v>
      </x:c>
      <x:c r="D24" s="32" t="n">
        <x:v>1</x:v>
      </x:c>
      <x:c r="E24" s="32" t="str">
        <x:v>un</x:v>
      </x:c>
      <x:c r="F24" s="35" t="n">
        <x:f>'Orçamento'!E38</x:f>
        <x:v>36</x:v>
      </x:c>
      <x:c r="G24" s="35" t="n">
        <x:f>ROUND(D24*F24,2)</x:f>
        <x:v>36</x:v>
      </x:c>
      <x:c r="H24" s="32" t="str">
        <x:v>Instalação</x:v>
      </x:c>
      <x:c r="I24" s="32" t="str">
        <x:v>1 por rack entre patch panel e switches; separar cobre/óptico</x:v>
      </x:c>
    </x:row>
    <x:row r="26">
      <x:c r="A26" t="str">
        <x:v>Cat6: rateio de 610 m (34 / 116 / 304 / 156 m). Fibra: rateio financeiro igual de 25 m por piso.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55" hidden="0" customWidth="1"/>
    <x:col min="3" max="3" width="47" hidden="0" customWidth="1"/>
    <x:col min="4" max="4" width="12" hidden="0" customWidth="1"/>
    <x:col min="5" max="5" width="12" hidden="0" customWidth="1"/>
    <x:col min="6" max="6" width="17" hidden="0" customWidth="1"/>
    <x:col min="7" max="7" width="17" hidden="0" customWidth="1"/>
    <x:col min="8" max="8" width="16" hidden="0" customWidth="1"/>
    <x:col min="9" max="9" width="50" hidden="0" customWidth="1"/>
  </x:cols>
  <x:sheetData>
    <x:row r="1">
      <x:c r="A1" s="31" t="str">
        <x:v>TI Connect | Orçamento - 3º andar</x:v>
      </x:c>
      <x:c r="B1" s="31"/>
      <x:c r="C1" s="31"/>
      <x:c r="D1" s="31"/>
      <x:c r="E1" s="31"/>
      <x:c r="F1" s="31"/>
      <x:c r="G1" s="31"/>
      <x:c r="H1" s="31"/>
      <x:c r="I1" s="31"/>
    </x:row>
    <x:row r="2">
      <x:c r="A2" s="31" t="str">
        <x:v>Equipamentos locais + materiais atribuídos ao pavimento</x:v>
      </x:c>
      <x:c r="B2" s="31"/>
      <x:c r="C2" s="31"/>
      <x:c r="D2" s="31"/>
      <x:c r="E2" s="31"/>
      <x:c r="F2" s="31"/>
      <x:c r="G2" s="31"/>
      <x:c r="H2" s="31"/>
      <x:c r="I2" s="31"/>
    </x:row>
    <x:row r="3">
      <x:c r="A3" s="31"/>
      <x:c r="B3" s="31"/>
      <x:c r="C3" s="31"/>
      <x:c r="D3" s="31"/>
      <x:c r="E3" s="31"/>
      <x:c r="F3" s="31"/>
      <x:c r="G3" s="31"/>
      <x:c r="H3" s="31"/>
      <x:c r="I3" s="31"/>
    </x:row>
    <x:row r="4">
      <x:c r="A4" s="37" t="str">
        <x:v>TOTAL DO PAVIMENTO</x:v>
      </x:c>
      <x:c r="B4" s="37"/>
      <x:c r="C4" s="37"/>
      <x:c r="D4" s="37"/>
      <x:c r="E4" s="37"/>
      <x:c r="F4" s="37"/>
      <x:c r="G4" s="38" t="n">
        <x:f>SUM(G7:G24)</x:f>
        <x:v>33272.25000000001</x:v>
      </x:c>
      <x:c r="H4" s="37"/>
      <x:c r="I4" s="37"/>
    </x:row>
    <x:row r="5">
      <x:c r="A5" s="31"/>
      <x:c r="B5" s="31"/>
      <x:c r="C5" s="31"/>
      <x:c r="D5" s="31"/>
      <x:c r="E5" s="31"/>
      <x:c r="F5" s="31"/>
      <x:c r="G5" s="31"/>
      <x:c r="H5" s="31"/>
      <x:c r="I5" s="31"/>
    </x:row>
    <x:row r="6" ht="28" customHeight="1">
      <x:c r="A6" s="34" t="str">
        <x:v>ID</x:v>
      </x:c>
      <x:c r="B6" s="34" t="str">
        <x:v>Item / nome</x:v>
      </x:c>
      <x:c r="C6" s="34" t="str">
        <x:v>Modelo / referência</x:v>
      </x:c>
      <x:c r="D6" s="34" t="str">
        <x:v>Qtd.</x:v>
      </x:c>
      <x:c r="E6" s="34" t="str">
        <x:v>Un.</x:v>
      </x:c>
      <x:c r="F6" s="34" t="str">
        <x:v>Preço unitário</x:v>
      </x:c>
      <x:c r="G6" s="34" t="str">
        <x:v>Subtotal</x:v>
      </x:c>
      <x:c r="H6" s="34" t="str">
        <x:v>Grupo</x:v>
      </x:c>
      <x:c r="I6" s="34" t="str">
        <x:v>Identificação / aplicação</x:v>
      </x:c>
    </x:row>
    <x:row r="7" ht="42" customHeight="1">
      <x:c r="A7" s="32" t="n">
        <x:v>1</x:v>
      </x:c>
      <x:c r="B7" s="32" t="str">
        <x:v>Rack de parede 19" 12U Intelbras MRD 1257</x:v>
      </x:c>
      <x:c r="C7" s="32" t="str">
        <x:v>Intelbras MRD 1257</x:v>
      </x:c>
      <x:c r="D7" s="32" t="n">
        <x:v>1</x:v>
      </x:c>
      <x:c r="E7" s="32" t="str">
        <x:v>un</x:v>
      </x:c>
      <x:c r="F7" s="35" t="n">
        <x:f>'Orçamento'!E14</x:f>
        <x:v>1014.42</x:v>
      </x:c>
      <x:c r="G7" s="35" t="n">
        <x:f>ROUND(D7*F7,2)</x:f>
        <x:v>1014.42</x:v>
      </x:c>
      <x:c r="H7" s="32" t="str">
        <x:v>Equipamentos</x:v>
      </x:c>
      <x:c r="I7" s="32" t="str">
        <x:v>RACK-3</x:v>
      </x:c>
    </x:row>
    <x:row r="8" ht="42" customHeight="1">
      <x:c r="A8" s="32" t="n">
        <x:v>3</x:v>
      </x:c>
      <x:c r="B8" s="32" t="str">
        <x:v>Switch acesso 1º/3º TP-Link TL-SG116E, 16xGbE Easy Smart</x:v>
      </x:c>
      <x:c r="C8" s="32" t="str">
        <x:v>TP-Link TL-SG116E</x:v>
      </x:c>
      <x:c r="D8" s="32" t="n">
        <x:v>1</x:v>
      </x:c>
      <x:c r="E8" s="32" t="str">
        <x:v>un</x:v>
      </x:c>
      <x:c r="F8" s="35" t="n">
        <x:f>'Orçamento'!E16</x:f>
        <x:v>412.74</x:v>
      </x:c>
      <x:c r="G8" s="35" t="n">
        <x:f>ROUND(D8*F8,2)</x:f>
        <x:v>412.74</x:v>
      </x:c>
      <x:c r="H8" s="32" t="str">
        <x:v>Equipamentos</x:v>
      </x:c>
      <x:c r="I8" s="32" t="str">
        <x:v>SW-3-01</x:v>
      </x:c>
    </x:row>
    <x:row r="9" ht="42" customHeight="1">
      <x:c r="A9" s="32" t="n">
        <x:v>5</x:v>
      </x:c>
      <x:c r="B9" s="32" t="str">
        <x:v>Switch distribuição/PoE TP-Link TL-SG2210MP, 8xPoE+ + 2 SFP, 150 W</x:v>
      </x:c>
      <x:c r="C9" s="32" t="str">
        <x:v>TP-Link TL-SG2210MP</x:v>
      </x:c>
      <x:c r="D9" s="32" t="n">
        <x:v>1</x:v>
      </x:c>
      <x:c r="E9" s="32" t="str">
        <x:v>un</x:v>
      </x:c>
      <x:c r="F9" s="35" t="n">
        <x:f>'Orçamento'!E18</x:f>
        <x:v>1044</x:v>
      </x:c>
      <x:c r="G9" s="35" t="n">
        <x:f>ROUND(D9*F9,2)</x:f>
        <x:v>1044</x:v>
      </x:c>
      <x:c r="H9" s="32" t="str">
        <x:v>Equipamentos</x:v>
      </x:c>
      <x:c r="I9" s="32" t="str">
        <x:v>SW-BB-3</x:v>
      </x:c>
    </x:row>
    <x:row r="10" ht="42" customHeight="1">
      <x:c r="A10" s="32" t="n">
        <x:v>7</x:v>
      </x:c>
      <x:c r="B10" s="32" t="str">
        <x:v>AP corporativo TP-Link EAP610 Wi-Fi 6, 802.3at</x:v>
      </x:c>
      <x:c r="C10" s="32" t="str">
        <x:v>TP-Link EAP610</x:v>
      </x:c>
      <x:c r="D10" s="32" t="n">
        <x:v>1</x:v>
      </x:c>
      <x:c r="E10" s="32" t="str">
        <x:v>un</x:v>
      </x:c>
      <x:c r="F10" s="35" t="n">
        <x:f>'Orçamento'!E20</x:f>
        <x:v>849.9</x:v>
      </x:c>
      <x:c r="G10" s="35" t="n">
        <x:f>ROUND(D10*F10,2)</x:f>
        <x:v>849.9</x:v>
      </x:c>
      <x:c r="H10" s="32" t="str">
        <x:v>Equipamentos</x:v>
      </x:c>
      <x:c r="I10" s="32" t="str">
        <x:v>AP-3-01</x:v>
      </x:c>
    </x:row>
    <x:row r="11" ht="42" customHeight="1">
      <x:c r="A11" s="32" t="n">
        <x:v>11</x:v>
      </x:c>
      <x:c r="B11" s="32" t="str">
        <x:v>Computador completo BluePC PRO CDBP-PRO142, i3-12100F, 8 GB, SSD 256 GB</x:v>
      </x:c>
      <x:c r="C11" s="32" t="str">
        <x:v>BluePC CDBP-PRO142</x:v>
      </x:c>
      <x:c r="D11" s="32" t="n">
        <x:v>10</x:v>
      </x:c>
      <x:c r="E11" s="32" t="str">
        <x:v>un</x:v>
      </x:c>
      <x:c r="F11" s="35" t="n">
        <x:f>'Orçamento'!E24</x:f>
        <x:v>2669</x:v>
      </x:c>
      <x:c r="G11" s="35" t="n">
        <x:f>ROUND(D11*F11,2)</x:f>
        <x:v>26690</x:v>
      </x:c>
      <x:c r="H11" s="32" t="str">
        <x:v>Equipamentos</x:v>
      </x:c>
      <x:c r="I11" s="32" t="str">
        <x:v>N2-01/02, INF-01/02, FIN-01, RH-01, ADM-01, VG-01, REU-01, CHF-01</x:v>
      </x:c>
    </x:row>
    <x:row r="12" ht="42" customHeight="1">
      <x:c r="A12" s="32" t="n">
        <x:v>12</x:v>
      </x:c>
      <x:c r="B12" s="32" t="str">
        <x:v>Nobreak Intelbras ATTIV 700 VA para rede de andar</x:v>
      </x:c>
      <x:c r="C12" s="32" t="str">
        <x:v>Intelbras ATTIV 700 VA / 220 V</x:v>
      </x:c>
      <x:c r="D12" s="32" t="n">
        <x:v>1</x:v>
      </x:c>
      <x:c r="E12" s="32" t="str">
        <x:v>un</x:v>
      </x:c>
      <x:c r="F12" s="35" t="n">
        <x:f>'Orçamento'!E25</x:f>
        <x:v>519.63</x:v>
      </x:c>
      <x:c r="G12" s="35" t="n">
        <x:f>ROUND(D12*F12,2)</x:f>
        <x:v>519.63</x:v>
      </x:c>
      <x:c r="H12" s="32" t="str">
        <x:v>Equipamentos</x:v>
      </x:c>
      <x:c r="I12" s="32" t="str">
        <x:v>Térreo, 2º e 3º: switches/roteador/APs; tensão e autonomia a validar</x:v>
      </x:c>
    </x:row>
    <x:row r="13" ht="42" customHeight="1">
      <x:c r="A13" s="32" t="n">
        <x:v>14</x:v>
      </x:c>
      <x:c r="B13" s="32" t="str">
        <x:v>Cabo U/UTP Cat6 Furukawa SOHOPLUS, caixa 305 m</x:v>
      </x:c>
      <x:c r="C13" s="32" t="str">
        <x:v>Furukawa SOHOPLUS 23400199</x:v>
      </x:c>
      <x:c r="D13" s="32" t="n">
        <x:v>156</x:v>
      </x:c>
      <x:c r="E13" s="32" t="str">
        <x:v>m (rateio)</x:v>
      </x:c>
      <x:c r="F13" s="35" t="n">
        <x:f>'Orçamento'!E27/305</x:f>
        <x:v>3.934098360655738</x:v>
      </x:c>
      <x:c r="G13" s="35" t="n">
        <x:f>'Orçamento'!F27-SUM('Térreo'!G15,'1º andar'!G15,'2º andar'!G13)</x:f>
        <x:v>613.71</x:v>
      </x:c>
      <x:c r="H13" s="32" t="str">
        <x:v>Cabeamento</x:v>
      </x:c>
      <x:c r="I13" s="32" t="str">
        <x:v>Rateio financeiro do material comprado</x:v>
      </x:c>
    </x:row>
    <x:row r="14" ht="42" customHeight="1">
      <x:c r="A14" s="32" t="n">
        <x:v>15</x:v>
      </x:c>
      <x:c r="B14" s="32" t="str">
        <x:v>Cabo óptico monomodo 6FO antichamas, rolo 50 m</x:v>
      </x:c>
      <x:c r="C14" s="32" t="str">
        <x:v>Monomodo 6FO antichamas / 50 m (SKU não informado)</x:v>
      </x:c>
      <x:c r="D14" s="32" t="n">
        <x:v>25</x:v>
      </x:c>
      <x:c r="E14" s="32" t="str">
        <x:v>m (rateio)</x:v>
      </x:c>
      <x:c r="F14" s="35" t="n">
        <x:f>'Orçamento'!E28/50</x:f>
        <x:v>9.0928</x:v>
      </x:c>
      <x:c r="G14" s="35" t="n">
        <x:f>ROUND(D14*F14,2)</x:f>
        <x:v>227.32</x:v>
      </x:c>
      <x:c r="H14" s="32" t="str">
        <x:v>Cabeamento</x:v>
      </x:c>
      <x:c r="I14" s="32" t="str">
        <x:v>Rateio financeiro do material comprado</x:v>
      </x:c>
    </x:row>
    <x:row r="15" ht="42" customHeight="1">
      <x:c r="A15" s="32" t="n">
        <x:v>16</x:v>
      </x:c>
      <x:c r="B15" s="32" t="str">
        <x:v>Patch panel Cat6 Furukawa 24 portas</x:v>
      </x:c>
      <x:c r="C15" s="32" t="str">
        <x:v>Furukawa SOHOPLUS 35050439</x:v>
      </x:c>
      <x:c r="D15" s="32" t="n">
        <x:v>1</x:v>
      </x:c>
      <x:c r="E15" s="32" t="str">
        <x:v>un</x:v>
      </x:c>
      <x:c r="F15" s="35" t="n">
        <x:f>'Orçamento'!E29</x:f>
        <x:v>579.9</x:v>
      </x:c>
      <x:c r="G15" s="35" t="n">
        <x:f>ROUND(D15*F15,2)</x:f>
        <x:v>579.9</x:v>
      </x:c>
      <x:c r="H15" s="32" t="str">
        <x:v>Instalação</x:v>
      </x:c>
      <x:c r="I15" s="32" t="str">
        <x:v>1 por rack: térreo 3, 1º 7, 2º 15, 3º 11 terminações de área</x:v>
      </x:c>
    </x:row>
    <x:row r="16" ht="42" customHeight="1">
      <x:c r="A16" s="32" t="n">
        <x:v>17</x:v>
      </x:c>
      <x:c r="B16" s="32" t="str">
        <x:v>Keystone fêmea RJ45 Cat6</x:v>
      </x:c>
      <x:c r="C16" s="32" t="str">
        <x:v>RJ45 fêmea UTP Cat6 (SKU não informado)</x:v>
      </x:c>
      <x:c r="D16" s="32" t="n">
        <x:v>11</x:v>
      </x:c>
      <x:c r="E16" s="32" t="str">
        <x:v>un</x:v>
      </x:c>
      <x:c r="F16" s="35" t="n">
        <x:f>'Orçamento'!E30</x:f>
        <x:v>23.35</x:v>
      </x:c>
      <x:c r="G16" s="35" t="n">
        <x:f>ROUND(D16*F16,2)</x:f>
        <x:v>256.85</x:v>
      </x:c>
      <x:c r="H16" s="32" t="str">
        <x:v>Instalação</x:v>
      </x:c>
      <x:c r="I16" s="32" t="str">
        <x:v>31 desktops cabeados + 5 APs; servidores ligados localmente por patch cord</x:v>
      </x:c>
    </x:row>
    <x:row r="17" ht="42" customHeight="1">
      <x:c r="A17" s="32" t="n">
        <x:v>18</x:v>
      </x:c>
      <x:c r="B17" s="32" t="str">
        <x:v>Caixa de sobrepor 2 saídas para ponto de mesa</x:v>
      </x:c>
      <x:c r="C17" s="32" t="str">
        <x:v>Central Cabos ref. 3402</x:v>
      </x:c>
      <x:c r="D17" s="32" t="n">
        <x:v>10</x:v>
      </x:c>
      <x:c r="E17" s="32" t="str">
        <x:v>un</x:v>
      </x:c>
      <x:c r="F17" s="35" t="n">
        <x:f>'Orçamento'!E31</x:f>
        <x:v>5.22</x:v>
      </x:c>
      <x:c r="G17" s="35" t="n">
        <x:f>ROUND(D17*F17,2)</x:f>
        <x:v>52.2</x:v>
      </x:c>
      <x:c r="H17" s="32" t="str">
        <x:v>Instalação</x:v>
      </x:c>
      <x:c r="I17" s="32" t="str">
        <x:v>1 em cada estação cabeada; 5 APs usam caixa de teto própria</x:v>
      </x:c>
    </x:row>
    <x:row r="18" ht="42" customHeight="1">
      <x:c r="A18" s="32" t="n">
        <x:v>19</x:v>
      </x:c>
      <x:c r="B18" s="32" t="str">
        <x:v>Caixa octogonal PVC 4x4 Tramontina 57500/005 para AP</x:v>
      </x:c>
      <x:c r="C18" s="32" t="str">
        <x:v>Tramontina 57500/005</x:v>
      </x:c>
      <x:c r="D18" s="32" t="n">
        <x:v>1</x:v>
      </x:c>
      <x:c r="E18" s="32" t="str">
        <x:v>un</x:v>
      </x:c>
      <x:c r="F18" s="35" t="n">
        <x:f>'Orçamento'!E32</x:f>
        <x:v>10.2</x:v>
      </x:c>
      <x:c r="G18" s="35" t="n">
        <x:f>ROUND(D18*F18,2)</x:f>
        <x:v>10.2</x:v>
      </x:c>
      <x:c r="H18" s="32" t="str">
        <x:v>Instalação</x:v>
      </x:c>
      <x:c r="I18" s="32" t="str">
        <x:v>1 por AP para acomodar terminação, sujeito ao tipo de forro</x:v>
      </x:c>
    </x:row>
    <x:row r="19" ht="42" customHeight="1">
      <x:c r="A19" s="32" t="n">
        <x:v>20</x:v>
      </x:c>
      <x:c r="B19" s="32" t="str">
        <x:v>Patch cord X-cell Cat6 UTP 2 m</x:v>
      </x:c>
      <x:c r="C19" s="32" t="str">
        <x:v>X-cell Cat6 UTP 2 m (SKU não informado)</x:v>
      </x:c>
      <x:c r="D19" s="32" t="n">
        <x:v>23</x:v>
      </x:c>
      <x:c r="E19" s="32" t="str">
        <x:v>un</x:v>
      </x:c>
      <x:c r="F19" s="35" t="n">
        <x:f>'Orçamento'!E33</x:f>
        <x:v>14.9</x:v>
      </x:c>
      <x:c r="G19" s="35" t="n">
        <x:f>ROUND(D19*F19,2)</x:f>
        <x:v>342.7</x:v>
      </x:c>
      <x:c r="H19" s="32" t="str">
        <x:v>Instalação</x:v>
      </x:c>
      <x:c r="I19" s="32" t="str">
        <x:v>36 no rack + 36 nas pontas + 2 servidores + 4 interswitch + 1 gateway + 1 reserva</x:v>
      </x:c>
    </x:row>
    <x:row r="20" ht="42" customHeight="1">
      <x:c r="A20" s="32" t="n">
        <x:v>21</x:v>
      </x:c>
      <x:c r="B20" s="32" t="str">
        <x:v>PDU Max Eletron 19", 8 tomadas 10 A</x:v>
      </x:c>
      <x:c r="C20" s="32" t="str">
        <x:v>Max Eletron 19" / 8 tomadas 10 A (SKU não informado)</x:v>
      </x:c>
      <x:c r="D20" s="32" t="n">
        <x:v>1</x:v>
      </x:c>
      <x:c r="E20" s="32" t="str">
        <x:v>un</x:v>
      </x:c>
      <x:c r="F20" s="35" t="n">
        <x:f>'Orçamento'!E34</x:f>
        <x:v>94.9</x:v>
      </x:c>
      <x:c r="G20" s="35" t="n">
        <x:f>ROUND(D20*F20,2)</x:f>
        <x:v>94.9</x:v>
      </x:c>
      <x:c r="H20" s="32" t="str">
        <x:v>Instalação</x:v>
      </x:c>
      <x:c r="I20" s="32" t="str">
        <x:v>1 PDU por rack, alimentada por nobreak dimensionado</x:v>
      </x:c>
    </x:row>
    <x:row r="21" ht="42" customHeight="1">
      <x:c r="A21" s="32" t="n">
        <x:v>22</x:v>
      </x:c>
      <x:c r="B21" s="32" t="str">
        <x:v>Mini DIO 6FO monomodo LC/UPC com pigtails</x:v>
      </x:c>
      <x:c r="C21" s="32" t="str">
        <x:v>Mini-DIO-6FO LC/UPC (referência do fornecedor)</x:v>
      </x:c>
      <x:c r="D21" s="32" t="n">
        <x:v>1</x:v>
      </x:c>
      <x:c r="E21" s="32" t="str">
        <x:v>un</x:v>
      </x:c>
      <x:c r="F21" s="35" t="n">
        <x:f>'Orçamento'!E35</x:f>
        <x:v>351.12</x:v>
      </x:c>
      <x:c r="G21" s="35" t="n">
        <x:f>ROUND(D21*F21,2)</x:f>
        <x:v>351.12</x:v>
      </x:c>
      <x:c r="H21" s="32" t="str">
        <x:v>Instalação</x:v>
      </x:c>
      <x:c r="I21" s="32" t="str">
        <x:v>1 por rack; 2 fibras por enlace; 4 fibras ativas nos andares 1 e 2</x:v>
      </x:c>
    </x:row>
    <x:row r="22" ht="42" customHeight="1">
      <x:c r="A22" s="32" t="n">
        <x:v>23</x:v>
      </x:c>
      <x:c r="B22" s="32" t="str">
        <x:v>Módulo SFP TP-Link TL-SM311LS monomodo LC</x:v>
      </x:c>
      <x:c r="C22" s="32" t="str">
        <x:v>TP-Link TL-SM311LS</x:v>
      </x:c>
      <x:c r="D22" s="32" t="n">
        <x:v>1</x:v>
      </x:c>
      <x:c r="E22" s="32" t="str">
        <x:v>un</x:v>
      </x:c>
      <x:c r="F22" s="35" t="n">
        <x:f>'Orçamento'!E36</x:f>
        <x:v>103.55</x:v>
      </x:c>
      <x:c r="G22" s="35" t="n">
        <x:f>ROUND(D22*F22,2)</x:f>
        <x:v>103.55</x:v>
      </x:c>
      <x:c r="H22" s="32" t="str">
        <x:v>Instalação</x:v>
      </x:c>
      <x:c r="I22" s="32" t="str">
        <x:v>3 enlaces ópticos adjacentes × 2 pontas; confirmar compatibilidade por revisão</x:v>
      </x:c>
    </x:row>
    <x:row r="23" ht="42" customHeight="1">
      <x:c r="A23" s="32" t="n">
        <x:v>24</x:v>
      </x:c>
      <x:c r="B23" s="32" t="str">
        <x:v>Cordão óptico duplex monomodo LC/UPC 2 m</x:v>
      </x:c>
      <x:c r="C23" s="32" t="str">
        <x:v>SM 9/125 LC/UPC-LC/UPC 2 m (SKU não informado)</x:v>
      </x:c>
      <x:c r="D23" s="32" t="n">
        <x:v>1</x:v>
      </x:c>
      <x:c r="E23" s="32" t="str">
        <x:v>un</x:v>
      </x:c>
      <x:c r="F23" s="35" t="n">
        <x:f>'Orçamento'!E37</x:f>
        <x:v>73.11</x:v>
      </x:c>
      <x:c r="G23" s="35" t="n">
        <x:f>ROUND(D23*F23,2)</x:f>
        <x:v>73.11</x:v>
      </x:c>
      <x:c r="H23" s="32" t="str">
        <x:v>Instalação</x:v>
      </x:c>
      <x:c r="I23" s="32" t="str">
        <x:v>1 DIO–SFP por transceptor; LC/UPC nas duas pontas</x:v>
      </x:c>
    </x:row>
    <x:row r="24" ht="42" customHeight="1">
      <x:c r="A24" s="32" t="n">
        <x:v>25</x:v>
      </x:c>
      <x:c r="B24" s="32" t="str">
        <x:v>Guia horizontal Caesa 1U x 55 mm</x:v>
      </x:c>
      <x:c r="C24" s="32" t="str">
        <x:v>Caesa 1U x 55 mm (SKU não informado)</x:v>
      </x:c>
      <x:c r="D24" s="32" t="n">
        <x:v>1</x:v>
      </x:c>
      <x:c r="E24" s="32" t="str">
        <x:v>un</x:v>
      </x:c>
      <x:c r="F24" s="35" t="n">
        <x:f>'Orçamento'!E38</x:f>
        <x:v>36</x:v>
      </x:c>
      <x:c r="G24" s="35" t="n">
        <x:f>ROUND(D24*F24,2)</x:f>
        <x:v>36</x:v>
      </x:c>
      <x:c r="H24" s="32" t="str">
        <x:v>Instalação</x:v>
      </x:c>
      <x:c r="I24" s="32" t="str">
        <x:v>1 por rack entre patch panel e switches; separar cobre/óptico</x:v>
      </x:c>
    </x:row>
    <x:row r="26">
      <x:c r="A26" t="str">
        <x:v>Cat6: rateio de 610 m (34 / 116 / 304 / 156 m). Fibra: rateio financeiro igual de 25 m por piso.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6" hidden="0" customWidth="1"/>
    <x:col min="3" max="3" width="1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41" t="str">
        <x:v>TI Connect | Orçamento por pavimento</x:v>
      </x:c>
      <x:c r="B1" s="41"/>
      <x:c r="C1" s="41"/>
      <x:c r="D1" s="41"/>
      <x:c r="E1" s="41"/>
      <x:c r="F1" s="41"/>
      <x:c r="G1" s="41"/>
    </x:row>
    <x:row r="2">
      <x:c r="A2" s="41"/>
      <x:c r="B2" s="41"/>
      <x:c r="C2" s="41"/>
      <x:c r="D2" s="41"/>
      <x:c r="E2" s="41"/>
      <x:c r="F2" s="41"/>
      <x:c r="G2" s="41"/>
    </x:row>
    <x:row r="3">
      <x:c r="A3" s="41" t="str">
        <x:v>Valores por local de instalação; cabos rateados, sem duplicar o custo total.</x:v>
      </x:c>
      <x:c r="B3" s="41"/>
      <x:c r="C3" s="41"/>
      <x:c r="D3" s="41"/>
      <x:c r="E3" s="41"/>
      <x:c r="F3" s="41"/>
      <x:c r="G3" s="41"/>
    </x:row>
    <x:row r="4">
      <x:c r="A4" s="41"/>
      <x:c r="B4" s="41"/>
      <x:c r="C4" s="41"/>
      <x:c r="D4" s="41"/>
      <x:c r="E4" s="41"/>
      <x:c r="F4" s="41"/>
      <x:c r="G4" s="41"/>
    </x:row>
    <x:row r="5">
      <x:c r="A5" s="41"/>
      <x:c r="B5" s="41"/>
      <x:c r="C5" s="41"/>
      <x:c r="D5" s="41"/>
      <x:c r="E5" s="41"/>
      <x:c r="F5" s="41"/>
      <x:c r="G5" s="41"/>
    </x:row>
    <x:row r="6" ht="30" customHeight="1">
      <x:c r="A6" s="43" t="str">
        <x:v>Pavimento</x:v>
      </x:c>
      <x:c r="B6" s="43" t="str">
        <x:v>PCs</x:v>
      </x:c>
      <x:c r="C6" s="43" t="str">
        <x:v>Pontos de rede</x:v>
      </x:c>
      <x:c r="D6" s="43" t="str">
        <x:v>Equipamentos</x:v>
      </x:c>
      <x:c r="E6" s="43" t="str">
        <x:v>Cabeamento</x:v>
      </x:c>
      <x:c r="F6" s="43" t="str">
        <x:v>Instalação</x:v>
      </x:c>
      <x:c r="G6" s="43" t="str">
        <x:v>Total</x:v>
      </x:c>
    </x:row>
    <x:row r="7" ht="30" customHeight="1">
      <x:c r="A7" s="41" t="str">
        <x:v>Térreo</x:v>
      </x:c>
      <x:c r="B7" s="41" t="n">
        <x:v>1</x:v>
      </x:c>
      <x:c r="C7" s="41" t="n">
        <x:v>3</x:v>
      </x:c>
      <x:c r="D7" s="44" t="n">
        <x:f>SUMIF('Térreo'!H7:H26,"Equipamentos",'Térreo'!G7:G26)</x:f>
        <x:v>7739.22</x:v>
      </x:c>
      <x:c r="E7" s="44" t="n">
        <x:f>SUMIF('Térreo'!H7:H26,"Cabeamento",'Térreo'!G7:G26)</x:f>
        <x:v>361.08</x:v>
      </x:c>
      <x:c r="F7" s="44" t="n">
        <x:f>SUMIF('Térreo'!H7:H26,"Instalação",'Térreo'!G7:G26)</x:f>
        <x:v>1453.4499999999998</x:v>
      </x:c>
      <x:c r="G7" s="44" t="n">
        <x:f>'Térreo'!G4</x:f>
        <x:v>9553.75</x:v>
      </x:c>
    </x:row>
    <x:row r="8" ht="30" customHeight="1">
      <x:c r="A8" s="41" t="str">
        <x:v>1º andar</x:v>
      </x:c>
      <x:c r="B8" s="41" t="n">
        <x:v>6</x:v>
      </x:c>
      <x:c r="C8" s="41" t="n">
        <x:v>7</x:v>
      </x:c>
      <x:c r="D8" s="44" t="n">
        <x:f>SUMIF('1º andar'!H7:H26,"Equipamentos",'1º andar'!G7:G26)</x:f>
        <x:v>46486.02</x:v>
      </x:c>
      <x:c r="E8" s="44" t="n">
        <x:f>SUMIF('1º andar'!H7:H26,"Cabeamento",'1º andar'!G7:G26)</x:f>
        <x:v>683.6800000000001</x:v>
      </x:c>
      <x:c r="F8" s="44" t="n">
        <x:f>SUMIF('1º andar'!H7:H26,"Instalação",'1º andar'!G7:G26)</x:f>
        <x:v>1888.41</x:v>
      </x:c>
      <x:c r="G8" s="44" t="n">
        <x:f>'1º andar'!G4</x:f>
        <x:v>49058.10999999999</x:v>
      </x:c>
    </x:row>
    <x:row r="9" ht="30" customHeight="1">
      <x:c r="A9" s="41" t="str">
        <x:v>2º andar</x:v>
      </x:c>
      <x:c r="B9" s="41" t="n">
        <x:v>14</x:v>
      </x:c>
      <x:c r="C9" s="41" t="n">
        <x:v>15</x:v>
      </x:c>
      <x:c r="D9" s="44" t="n">
        <x:f>SUMIF('2º andar'!H7:H24,"Equipamentos",'2º andar'!G7:G24)</x:f>
        <x:v>41793.939999999995</x:v>
      </x:c>
      <x:c r="E9" s="44" t="n">
        <x:f>SUMIF('2º andar'!H7:H24,"Cabeamento",'2º andar'!G7:G24)</x:f>
        <x:v>1423.29</x:v>
      </x:c>
      <x:c r="F9" s="44" t="n">
        <x:f>SUMIF('2º andar'!H7:H24,"Instalação",'2º andar'!G7:G24)</x:f>
        <x:v>2310.6699999999996</x:v>
      </x:c>
      <x:c r="G9" s="44" t="n">
        <x:f>'2º andar'!G4</x:f>
        <x:v>45527.9</x:v>
      </x:c>
    </x:row>
    <x:row r="10" ht="30" customHeight="1">
      <x:c r="A10" s="41" t="str">
        <x:v>3º andar</x:v>
      </x:c>
      <x:c r="B10" s="41" t="n">
        <x:v>10</x:v>
      </x:c>
      <x:c r="C10" s="41" t="n">
        <x:v>11</x:v>
      </x:c>
      <x:c r="D10" s="44" t="n">
        <x:f>SUMIF('3º andar'!H7:H24,"Equipamentos",'3º andar'!G7:G24)</x:f>
        <x:v>30530.690000000002</x:v>
      </x:c>
      <x:c r="E10" s="44" t="n">
        <x:f>SUMIF('3º andar'!H7:H24,"Cabeamento",'3º andar'!G7:G24)</x:f>
        <x:v>841.03</x:v>
      </x:c>
      <x:c r="F10" s="44" t="n">
        <x:f>SUMIF('3º andar'!H7:H24,"Instalação",'3º andar'!G7:G24)</x:f>
        <x:v>1900.5300000000002</x:v>
      </x:c>
      <x:c r="G10" s="44" t="n">
        <x:f>'3º andar'!G4</x:f>
        <x:v>33272.25000000001</x:v>
      </x:c>
    </x:row>
    <x:row r="11" ht="30" customHeight="1">
      <x:c r="A11" s="47" t="str">
        <x:v>TOTAL GERAL</x:v>
      </x:c>
      <x:c r="B11" s="47" t="n">
        <x:f>SUM(B7:B10)</x:f>
        <x:v>31</x:v>
      </x:c>
      <x:c r="C11" s="47" t="n">
        <x:f>SUM(C7:C10)</x:f>
        <x:v>36</x:v>
      </x:c>
      <x:c r="D11" s="48" t="n">
        <x:f>SUM(D7:D10)</x:f>
        <x:v>126549.87</x:v>
      </x:c>
      <x:c r="E11" s="48" t="n">
        <x:f>SUM(E7:E10)</x:f>
        <x:v>3309.08</x:v>
      </x:c>
      <x:c r="F11" s="48" t="n">
        <x:f>SUM(F7:F10)</x:f>
        <x:v>7553.0599999999995</x:v>
      </x:c>
      <x:c r="G11" s="48" t="n">
        <x:f>SUM(G7:G10)</x:f>
        <x:v>137412.01</x:v>
      </x:c>
    </x:row>
    <x:row r="12">
      <x:c r="A12" s="41"/>
      <x:c r="B12" s="41"/>
      <x:c r="C12" s="41"/>
      <x:c r="D12" s="44"/>
      <x:c r="E12" s="44"/>
      <x:c r="F12" s="44"/>
      <x:c r="G12" s="44"/>
    </x:row>
    <x:row r="13">
      <x:c r="A13" s="41" t="str">
        <x:v>Conferência: soma dos pavimentos menos orçamento geral (deve ser zero)</x:v>
      </x:c>
      <x:c r="B13" s="41"/>
      <x:c r="C13" s="41"/>
      <x:c r="D13" s="44"/>
      <x:c r="E13" s="44"/>
      <x:c r="F13" s="44"/>
      <x:c r="G13" s="44" t="n">
        <x:f>G11-'Orçamento'!B8</x:f>
        <x:v>0</x:v>
      </x:c>
    </x:row>
    <x:row r="14">
      <x:c r="A14" s="41"/>
      <x:c r="B14" s="41"/>
      <x:c r="C14" s="41"/>
      <x:c r="D14" s="41"/>
      <x:c r="E14" s="41"/>
      <x:c r="F14" s="41"/>
      <x:c r="G14" s="41"/>
    </x:row>
    <x:row r="15">
      <x:c r="A15" s="41" t="str">
        <x:v>Cat6: 610 m divididos em 34 / 116 / 304 / 156 m, conforme proporção das rotas mínimas e arredondamento.</x:v>
      </x:c>
      <x:c r="B15" s="41"/>
      <x:c r="C15" s="41"/>
      <x:c r="D15" s="41"/>
      <x:c r="E15" s="41"/>
      <x:c r="F15" s="41"/>
      <x:c r="G15" s="41"/>
    </x:row>
    <x:row r="16">
      <x:c r="A16" s="41" t="str">
        <x:v>Fibra: 100 m divididos financeiramente em 25 m por piso; não representa metragem executiva por pavimento.</x:v>
      </x:c>
      <x:c r="B16" s="41"/>
      <x:c r="C16" s="41"/>
      <x:c r="D16" s="41"/>
      <x:c r="E16" s="41"/>
      <x:c r="F16" s="41"/>
      <x:c r="G16" s="41"/>
    </x:row>
    <x:row r="17">
      <x:c r="A17" s="41" t="str">
        <x:v>Transceptores e cordões ópticos: 1 / 2 / 2 / 1 pontas por piso. Gateways no térreo; servidores no 1º andar.</x:v>
      </x:c>
      <x:c r="B17" s="41"/>
      <x:c r="C17" s="41"/>
      <x:c r="D17" s="41"/>
      <x:c r="E17" s="41"/>
      <x:c r="F17" s="41"/>
      <x:c r="G17" s="41"/>
    </x:row>
    <x:row r="18">
      <x:c r="A18" s="41" t="str">
        <x:v>Windows dos PCs é trial; licença definitiva não incluída. Marcas/SKUs ausentes são declarados por especificação.</x:v>
      </x:c>
      <x:c r="B18" s="41"/>
      <x:c r="C18" s="41"/>
      <x:c r="D18" s="41"/>
      <x:c r="E18" s="41"/>
      <x:c r="F18" s="41"/>
      <x:c r="G18" s="41"/>
    </x:row>
  </x:sheetData>
  <x:pageMargins left="0.7" right="0.7" top="0.75" bottom="0.75" header="0.3" footer="0.3"/>
</x:worksheet>
</file>